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ab\Package Quotation\"/>
    </mc:Choice>
  </mc:AlternateContent>
  <xr:revisionPtr revIDLastSave="0" documentId="13_ncr:1_{74D749B7-55A7-4BD6-940E-00115B994817}" xr6:coauthVersionLast="47" xr6:coauthVersionMax="47" xr10:uidLastSave="{00000000-0000-0000-0000-000000000000}"/>
  <bookViews>
    <workbookView xWindow="-120" yWindow="-120" windowWidth="29040" windowHeight="15720" firstSheet="22" activeTab="22" xr2:uid="{00000000-000D-0000-FFFF-FFFF00000000}"/>
  </bookViews>
  <sheets>
    <sheet name="715 Langkah sedaya wisata " sheetId="1" r:id="rId1"/>
    <sheet name="739 DNA Umrah " sheetId="2" r:id="rId2"/>
    <sheet name="756 SMM" sheetId="3" r:id="rId3"/>
    <sheet name="750 SMM" sheetId="4" r:id="rId4"/>
    <sheet name="771 Alkarim Travel" sheetId="5" r:id="rId5"/>
    <sheet name="436 Tony's Group" sheetId="6" r:id="rId6"/>
    <sheet name="772" sheetId="7" r:id="rId7"/>
    <sheet name="787 Shahira Travel" sheetId="8" r:id="rId8"/>
    <sheet name="804 SMM" sheetId="9" r:id="rId9"/>
    <sheet name="815 Mrs Hestin (Individual)" sheetId="10" r:id="rId10"/>
    <sheet name="896 Orchid Instead Royal Dar Em" sheetId="11" r:id="rId11"/>
    <sheet name="977 nurain travel " sheetId="12" r:id="rId12"/>
    <sheet name="976 mawaddah travel " sheetId="13" r:id="rId13"/>
    <sheet name="979 nour el ain" sheetId="14" r:id="rId14"/>
    <sheet name="788 Fitri Group" sheetId="15" r:id="rId15"/>
    <sheet name="1022 Syifaul Qulub" sheetId="16" r:id="rId16"/>
    <sheet name="1074 Madinah Tour Travel" sheetId="17" r:id="rId17"/>
    <sheet name="1311 Al Buraq " sheetId="18" r:id="rId18"/>
    <sheet name="1866 Fio Holiday " sheetId="19" r:id="rId19"/>
    <sheet name="1892 Haidar Tour" sheetId="20" r:id="rId20"/>
    <sheet name="5 PAX" sheetId="22" r:id="rId21"/>
    <sheet name="2099 Alkariim Travel" sheetId="24" r:id="rId22"/>
    <sheet name="1958 Wipa Tour" sheetId="21" r:id="rId23"/>
    <sheet name="2103 Wipa" sheetId="23" r:id="rId24"/>
    <sheet name="Anaser 3062" sheetId="25" r:id="rId25"/>
    <sheet name="WIPA Tour 3049" sheetId="26" r:id="rId26"/>
    <sheet name="3027 Mr Marzuki (Jambi) " sheetId="27" r:id="rId27"/>
    <sheet name="3061 Anaser" sheetId="28" r:id="rId28"/>
    <sheet name="3049 WIPA Tour" sheetId="29" r:id="rId29"/>
    <sheet name="3061 Anaser (New one)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21" l="1"/>
  <c r="C25" i="21"/>
  <c r="C19" i="21"/>
  <c r="C18" i="21"/>
  <c r="G31" i="30"/>
  <c r="R50" i="30"/>
  <c r="Q50" i="30"/>
  <c r="P50" i="30"/>
  <c r="R49" i="30"/>
  <c r="Q49" i="30"/>
  <c r="O49" i="30"/>
  <c r="I49" i="30"/>
  <c r="H49" i="30"/>
  <c r="G49" i="30"/>
  <c r="P49" i="30" s="1"/>
  <c r="O41" i="30"/>
  <c r="J41" i="30"/>
  <c r="S41" i="30" s="1"/>
  <c r="I41" i="30"/>
  <c r="R41" i="30" s="1"/>
  <c r="H41" i="30"/>
  <c r="Q41" i="30" s="1"/>
  <c r="G41" i="30"/>
  <c r="P41" i="30" s="1"/>
  <c r="Q40" i="30"/>
  <c r="O40" i="30"/>
  <c r="J40" i="30"/>
  <c r="S40" i="30" s="1"/>
  <c r="I40" i="30"/>
  <c r="R40" i="30" s="1"/>
  <c r="H40" i="30"/>
  <c r="G40" i="30"/>
  <c r="P40" i="30" s="1"/>
  <c r="O31" i="30"/>
  <c r="P31" i="30" s="1"/>
  <c r="J31" i="30"/>
  <c r="S31" i="30" s="1"/>
  <c r="I31" i="30"/>
  <c r="R31" i="30" s="1"/>
  <c r="H31" i="30"/>
  <c r="Q31" i="30" s="1"/>
  <c r="W30" i="30" s="1"/>
  <c r="C22" i="30"/>
  <c r="C24" i="28"/>
  <c r="C24" i="29"/>
  <c r="C19" i="29"/>
  <c r="C18" i="29"/>
  <c r="O31" i="29" s="1"/>
  <c r="R50" i="29"/>
  <c r="Q50" i="29"/>
  <c r="P50" i="29"/>
  <c r="R49" i="29"/>
  <c r="Q49" i="29"/>
  <c r="O49" i="29"/>
  <c r="I49" i="29"/>
  <c r="H49" i="29"/>
  <c r="G49" i="29"/>
  <c r="P49" i="29" s="1"/>
  <c r="Q41" i="29"/>
  <c r="O41" i="29"/>
  <c r="J41" i="29"/>
  <c r="S41" i="29" s="1"/>
  <c r="I41" i="29"/>
  <c r="R41" i="29" s="1"/>
  <c r="H41" i="29"/>
  <c r="G41" i="29"/>
  <c r="P41" i="29" s="1"/>
  <c r="R40" i="29"/>
  <c r="Q40" i="29"/>
  <c r="O40" i="29"/>
  <c r="J40" i="29"/>
  <c r="S40" i="29" s="1"/>
  <c r="I40" i="29"/>
  <c r="H40" i="29"/>
  <c r="G40" i="29"/>
  <c r="P40" i="29" s="1"/>
  <c r="J31" i="29"/>
  <c r="I31" i="29"/>
  <c r="H31" i="29"/>
  <c r="G31" i="29"/>
  <c r="C22" i="28"/>
  <c r="R50" i="28"/>
  <c r="Q50" i="28"/>
  <c r="P50" i="28"/>
  <c r="Q49" i="28"/>
  <c r="O49" i="28"/>
  <c r="I49" i="28"/>
  <c r="R49" i="28" s="1"/>
  <c r="H49" i="28"/>
  <c r="G49" i="28"/>
  <c r="P49" i="28" s="1"/>
  <c r="O41" i="28"/>
  <c r="P41" i="28" s="1"/>
  <c r="J41" i="28"/>
  <c r="S41" i="28" s="1"/>
  <c r="I41" i="28"/>
  <c r="R41" i="28" s="1"/>
  <c r="H41" i="28"/>
  <c r="Q41" i="28" s="1"/>
  <c r="G41" i="28"/>
  <c r="O40" i="28"/>
  <c r="J40" i="28"/>
  <c r="S40" i="28" s="1"/>
  <c r="I40" i="28"/>
  <c r="R40" i="28" s="1"/>
  <c r="H40" i="28"/>
  <c r="Q40" i="28" s="1"/>
  <c r="G40" i="28"/>
  <c r="P40" i="28" s="1"/>
  <c r="J31" i="28"/>
  <c r="I31" i="28"/>
  <c r="H31" i="28"/>
  <c r="G31" i="28"/>
  <c r="C24" i="27"/>
  <c r="C18" i="27"/>
  <c r="R50" i="27"/>
  <c r="Q50" i="27"/>
  <c r="P50" i="27"/>
  <c r="Q49" i="27"/>
  <c r="P49" i="27"/>
  <c r="O49" i="27"/>
  <c r="I49" i="27"/>
  <c r="R49" i="27" s="1"/>
  <c r="H49" i="27"/>
  <c r="G49" i="27"/>
  <c r="O41" i="27"/>
  <c r="J41" i="27"/>
  <c r="S41" i="27" s="1"/>
  <c r="I41" i="27"/>
  <c r="R41" i="27" s="1"/>
  <c r="H41" i="27"/>
  <c r="Q41" i="27" s="1"/>
  <c r="G41" i="27"/>
  <c r="P41" i="27" s="1"/>
  <c r="R40" i="27"/>
  <c r="O40" i="27"/>
  <c r="J40" i="27"/>
  <c r="S40" i="27" s="1"/>
  <c r="I40" i="27"/>
  <c r="H40" i="27"/>
  <c r="Q40" i="27" s="1"/>
  <c r="G40" i="27"/>
  <c r="P40" i="27" s="1"/>
  <c r="O31" i="27"/>
  <c r="J31" i="27"/>
  <c r="I31" i="27"/>
  <c r="R31" i="27" s="1"/>
  <c r="X30" i="27" s="1"/>
  <c r="H31" i="27"/>
  <c r="Q31" i="27" s="1"/>
  <c r="W30" i="27" s="1"/>
  <c r="G31" i="27"/>
  <c r="R50" i="26"/>
  <c r="Q50" i="26"/>
  <c r="P50" i="26"/>
  <c r="O49" i="26"/>
  <c r="I49" i="26"/>
  <c r="R49" i="26" s="1"/>
  <c r="H49" i="26"/>
  <c r="Q49" i="26" s="1"/>
  <c r="G49" i="26"/>
  <c r="P49" i="26" s="1"/>
  <c r="O41" i="26"/>
  <c r="Q41" i="26" s="1"/>
  <c r="J41" i="26"/>
  <c r="S41" i="26" s="1"/>
  <c r="I41" i="26"/>
  <c r="R41" i="26" s="1"/>
  <c r="H41" i="26"/>
  <c r="G41" i="26"/>
  <c r="O40" i="26"/>
  <c r="J40" i="26"/>
  <c r="S40" i="26" s="1"/>
  <c r="I40" i="26"/>
  <c r="R40" i="26" s="1"/>
  <c r="H40" i="26"/>
  <c r="Q40" i="26" s="1"/>
  <c r="G40" i="26"/>
  <c r="P40" i="26" s="1"/>
  <c r="O31" i="26"/>
  <c r="S31" i="26" s="1"/>
  <c r="J31" i="26"/>
  <c r="I31" i="26"/>
  <c r="H31" i="26"/>
  <c r="G31" i="26"/>
  <c r="C22" i="26"/>
  <c r="C22" i="25"/>
  <c r="O31" i="25" s="1"/>
  <c r="R50" i="25"/>
  <c r="Q50" i="25"/>
  <c r="P50" i="25"/>
  <c r="O49" i="25"/>
  <c r="I49" i="25"/>
  <c r="R49" i="25" s="1"/>
  <c r="H49" i="25"/>
  <c r="Q49" i="25" s="1"/>
  <c r="G49" i="25"/>
  <c r="P49" i="25" s="1"/>
  <c r="Q41" i="25"/>
  <c r="P41" i="25"/>
  <c r="O41" i="25"/>
  <c r="R41" i="25" s="1"/>
  <c r="J41" i="25"/>
  <c r="S41" i="25" s="1"/>
  <c r="I41" i="25"/>
  <c r="H41" i="25"/>
  <c r="G41" i="25"/>
  <c r="O40" i="25"/>
  <c r="J40" i="25"/>
  <c r="S40" i="25" s="1"/>
  <c r="I40" i="25"/>
  <c r="R40" i="25" s="1"/>
  <c r="H40" i="25"/>
  <c r="Q40" i="25" s="1"/>
  <c r="G40" i="25"/>
  <c r="P40" i="25" s="1"/>
  <c r="J31" i="25"/>
  <c r="I31" i="25"/>
  <c r="H31" i="25"/>
  <c r="G31" i="25"/>
  <c r="O31" i="23"/>
  <c r="C25" i="23"/>
  <c r="C24" i="23"/>
  <c r="C18" i="23"/>
  <c r="G31" i="24"/>
  <c r="C24" i="24"/>
  <c r="C22" i="24"/>
  <c r="C19" i="24"/>
  <c r="R50" i="24"/>
  <c r="Q50" i="24"/>
  <c r="P50" i="24"/>
  <c r="R49" i="24"/>
  <c r="O49" i="24"/>
  <c r="I49" i="24"/>
  <c r="H49" i="24"/>
  <c r="Q49" i="24" s="1"/>
  <c r="G49" i="24"/>
  <c r="P49" i="24" s="1"/>
  <c r="O41" i="24"/>
  <c r="J41" i="24"/>
  <c r="S41" i="24" s="1"/>
  <c r="I41" i="24"/>
  <c r="R41" i="24" s="1"/>
  <c r="H41" i="24"/>
  <c r="G41" i="24"/>
  <c r="O40" i="24"/>
  <c r="J40" i="24"/>
  <c r="S40" i="24" s="1"/>
  <c r="I40" i="24"/>
  <c r="R40" i="24" s="1"/>
  <c r="H40" i="24"/>
  <c r="Q40" i="24" s="1"/>
  <c r="G40" i="24"/>
  <c r="P40" i="24" s="1"/>
  <c r="O31" i="24"/>
  <c r="J31" i="24"/>
  <c r="I31" i="24"/>
  <c r="H31" i="24"/>
  <c r="R50" i="23"/>
  <c r="Q50" i="23"/>
  <c r="P50" i="23"/>
  <c r="Q49" i="23"/>
  <c r="O49" i="23"/>
  <c r="I49" i="23"/>
  <c r="R49" i="23" s="1"/>
  <c r="H49" i="23"/>
  <c r="G49" i="23"/>
  <c r="P49" i="23" s="1"/>
  <c r="O41" i="23"/>
  <c r="J41" i="23"/>
  <c r="S41" i="23" s="1"/>
  <c r="I41" i="23"/>
  <c r="R41" i="23" s="1"/>
  <c r="H41" i="23"/>
  <c r="G41" i="23"/>
  <c r="O40" i="23"/>
  <c r="J40" i="23"/>
  <c r="S40" i="23" s="1"/>
  <c r="I40" i="23"/>
  <c r="R40" i="23" s="1"/>
  <c r="H40" i="23"/>
  <c r="Q40" i="23" s="1"/>
  <c r="G40" i="23"/>
  <c r="P40" i="23" s="1"/>
  <c r="J31" i="23"/>
  <c r="I31" i="23"/>
  <c r="H31" i="23"/>
  <c r="G31" i="23"/>
  <c r="C24" i="21"/>
  <c r="X30" i="30" l="1"/>
  <c r="V30" i="30"/>
  <c r="O31" i="28"/>
  <c r="R31" i="28" s="1"/>
  <c r="X30" i="28" s="1"/>
  <c r="R31" i="29"/>
  <c r="X30" i="29" s="1"/>
  <c r="P31" i="29"/>
  <c r="V30" i="29" s="1"/>
  <c r="Q31" i="29"/>
  <c r="W30" i="29" s="1"/>
  <c r="S31" i="29"/>
  <c r="S31" i="27"/>
  <c r="P31" i="27"/>
  <c r="V30" i="27" s="1"/>
  <c r="P31" i="26"/>
  <c r="V30" i="26" s="1"/>
  <c r="Q31" i="26"/>
  <c r="W30" i="26" s="1"/>
  <c r="R31" i="26"/>
  <c r="X30" i="26" s="1"/>
  <c r="P41" i="26"/>
  <c r="S31" i="25"/>
  <c r="R31" i="25"/>
  <c r="X30" i="25" s="1"/>
  <c r="P31" i="25"/>
  <c r="V30" i="25" s="1"/>
  <c r="Q31" i="25"/>
  <c r="W30" i="25" s="1"/>
  <c r="S31" i="23"/>
  <c r="Q41" i="23"/>
  <c r="Q41" i="24"/>
  <c r="R31" i="24"/>
  <c r="X30" i="24" s="1"/>
  <c r="P31" i="24"/>
  <c r="V30" i="24" s="1"/>
  <c r="P41" i="24"/>
  <c r="S31" i="24"/>
  <c r="Q31" i="24"/>
  <c r="W30" i="24" s="1"/>
  <c r="P41" i="23"/>
  <c r="R50" i="22"/>
  <c r="Q50" i="22"/>
  <c r="P50" i="22"/>
  <c r="O49" i="22"/>
  <c r="I49" i="22"/>
  <c r="R49" i="22" s="1"/>
  <c r="H49" i="22"/>
  <c r="Q49" i="22" s="1"/>
  <c r="G49" i="22"/>
  <c r="P49" i="22" s="1"/>
  <c r="O41" i="22"/>
  <c r="S41" i="22" s="1"/>
  <c r="J41" i="22"/>
  <c r="I41" i="22"/>
  <c r="H41" i="22"/>
  <c r="G41" i="22"/>
  <c r="O40" i="22"/>
  <c r="J40" i="22"/>
  <c r="S40" i="22" s="1"/>
  <c r="I40" i="22"/>
  <c r="R40" i="22" s="1"/>
  <c r="H40" i="22"/>
  <c r="Q40" i="22" s="1"/>
  <c r="G40" i="22"/>
  <c r="P40" i="22" s="1"/>
  <c r="J31" i="22"/>
  <c r="I31" i="22"/>
  <c r="H31" i="22"/>
  <c r="G31" i="22"/>
  <c r="C24" i="22"/>
  <c r="C18" i="22"/>
  <c r="O31" i="22" s="1"/>
  <c r="O31" i="21"/>
  <c r="R50" i="21"/>
  <c r="Q50" i="21"/>
  <c r="P50" i="21"/>
  <c r="O49" i="21"/>
  <c r="I49" i="21"/>
  <c r="R49" i="21" s="1"/>
  <c r="H49" i="21"/>
  <c r="Q49" i="21" s="1"/>
  <c r="G49" i="21"/>
  <c r="P49" i="21" s="1"/>
  <c r="O41" i="21"/>
  <c r="J41" i="21"/>
  <c r="S41" i="21" s="1"/>
  <c r="I41" i="21"/>
  <c r="R41" i="21" s="1"/>
  <c r="H41" i="21"/>
  <c r="Q41" i="21" s="1"/>
  <c r="G41" i="21"/>
  <c r="P41" i="21" s="1"/>
  <c r="O40" i="21"/>
  <c r="J40" i="21"/>
  <c r="S40" i="21" s="1"/>
  <c r="I40" i="21"/>
  <c r="R40" i="21" s="1"/>
  <c r="H40" i="21"/>
  <c r="Q40" i="21" s="1"/>
  <c r="G40" i="21"/>
  <c r="P40" i="21" s="1"/>
  <c r="J31" i="21"/>
  <c r="I31" i="21"/>
  <c r="H31" i="21"/>
  <c r="G31" i="21"/>
  <c r="J31" i="20"/>
  <c r="C24" i="20"/>
  <c r="C23" i="20"/>
  <c r="O31" i="20" s="1"/>
  <c r="R50" i="20"/>
  <c r="Q50" i="20"/>
  <c r="P50" i="20"/>
  <c r="O49" i="20"/>
  <c r="I49" i="20"/>
  <c r="R49" i="20" s="1"/>
  <c r="H49" i="20"/>
  <c r="Q49" i="20" s="1"/>
  <c r="G49" i="20"/>
  <c r="P49" i="20" s="1"/>
  <c r="O41" i="20"/>
  <c r="J41" i="20"/>
  <c r="S41" i="20" s="1"/>
  <c r="I41" i="20"/>
  <c r="R41" i="20" s="1"/>
  <c r="H41" i="20"/>
  <c r="Q41" i="20" s="1"/>
  <c r="G41" i="20"/>
  <c r="O40" i="20"/>
  <c r="J40" i="20"/>
  <c r="S40" i="20" s="1"/>
  <c r="I40" i="20"/>
  <c r="R40" i="20" s="1"/>
  <c r="H40" i="20"/>
  <c r="Q40" i="20" s="1"/>
  <c r="G40" i="20"/>
  <c r="P40" i="20" s="1"/>
  <c r="I31" i="20"/>
  <c r="H31" i="20"/>
  <c r="G31" i="20"/>
  <c r="Q31" i="28" l="1"/>
  <c r="W30" i="28" s="1"/>
  <c r="P31" i="28"/>
  <c r="V30" i="28" s="1"/>
  <c r="S31" i="28"/>
  <c r="R31" i="23"/>
  <c r="X30" i="23" s="1"/>
  <c r="Q31" i="23"/>
  <c r="W30" i="23" s="1"/>
  <c r="P31" i="23"/>
  <c r="V30" i="23" s="1"/>
  <c r="S31" i="22"/>
  <c r="R31" i="22"/>
  <c r="X30" i="22" s="1"/>
  <c r="Q31" i="22"/>
  <c r="W30" i="22" s="1"/>
  <c r="P31" i="22"/>
  <c r="V30" i="22" s="1"/>
  <c r="P41" i="22"/>
  <c r="Q41" i="22"/>
  <c r="R41" i="22"/>
  <c r="R31" i="21"/>
  <c r="X30" i="21" s="1"/>
  <c r="S31" i="21"/>
  <c r="Q31" i="21"/>
  <c r="W30" i="21" s="1"/>
  <c r="P31" i="21"/>
  <c r="V30" i="21" s="1"/>
  <c r="P41" i="20"/>
  <c r="S31" i="20"/>
  <c r="P31" i="20"/>
  <c r="V30" i="20" s="1"/>
  <c r="Q31" i="20"/>
  <c r="W30" i="20" s="1"/>
  <c r="R31" i="20"/>
  <c r="X30" i="20" s="1"/>
  <c r="C24" i="19"/>
  <c r="C23" i="19" l="1"/>
  <c r="R50" i="19"/>
  <c r="Q50" i="19"/>
  <c r="P50" i="19"/>
  <c r="O49" i="19"/>
  <c r="I49" i="19"/>
  <c r="R49" i="19" s="1"/>
  <c r="H49" i="19"/>
  <c r="Q49" i="19" s="1"/>
  <c r="G49" i="19"/>
  <c r="P49" i="19" s="1"/>
  <c r="O41" i="19"/>
  <c r="J41" i="19"/>
  <c r="S41" i="19" s="1"/>
  <c r="I41" i="19"/>
  <c r="R41" i="19" s="1"/>
  <c r="H41" i="19"/>
  <c r="Q41" i="19" s="1"/>
  <c r="G41" i="19"/>
  <c r="P41" i="19" s="1"/>
  <c r="O40" i="19"/>
  <c r="Q40" i="19" s="1"/>
  <c r="J40" i="19"/>
  <c r="I40" i="19"/>
  <c r="H40" i="19"/>
  <c r="G40" i="19"/>
  <c r="O31" i="19"/>
  <c r="J31" i="19"/>
  <c r="I31" i="19"/>
  <c r="R31" i="19" s="1"/>
  <c r="H31" i="19"/>
  <c r="G31" i="19"/>
  <c r="P40" i="19" l="1"/>
  <c r="R40" i="19"/>
  <c r="S40" i="19"/>
  <c r="S31" i="19"/>
  <c r="P31" i="19"/>
  <c r="V30" i="19" s="1"/>
  <c r="Q31" i="19"/>
  <c r="W30" i="19" s="1"/>
  <c r="X30" i="19"/>
  <c r="R50" i="18"/>
  <c r="Q50" i="18"/>
  <c r="P50" i="18"/>
  <c r="O49" i="18"/>
  <c r="I49" i="18"/>
  <c r="H49" i="18"/>
  <c r="G49" i="18"/>
  <c r="O41" i="18"/>
  <c r="J41" i="18"/>
  <c r="S41" i="18" s="1"/>
  <c r="I41" i="18"/>
  <c r="H41" i="18"/>
  <c r="G41" i="18"/>
  <c r="O40" i="18"/>
  <c r="J40" i="18"/>
  <c r="I40" i="18"/>
  <c r="H40" i="18"/>
  <c r="Q40" i="18" s="1"/>
  <c r="G40" i="18"/>
  <c r="P40" i="18" s="1"/>
  <c r="J31" i="18"/>
  <c r="I31" i="18"/>
  <c r="H31" i="18"/>
  <c r="G31" i="18"/>
  <c r="O31" i="18"/>
  <c r="Q41" i="18" l="1"/>
  <c r="P41" i="18"/>
  <c r="R41" i="18"/>
  <c r="S40" i="18"/>
  <c r="P49" i="18"/>
  <c r="R40" i="18"/>
  <c r="Q49" i="18"/>
  <c r="S31" i="18"/>
  <c r="R49" i="18"/>
  <c r="R31" i="18"/>
  <c r="P31" i="18"/>
  <c r="V30" i="18" s="1"/>
  <c r="Q31" i="18"/>
  <c r="W30" i="18" s="1"/>
  <c r="C23" i="17"/>
  <c r="C18" i="17"/>
  <c r="C17" i="17"/>
  <c r="R49" i="17"/>
  <c r="Q49" i="17"/>
  <c r="P49" i="17"/>
  <c r="O48" i="17"/>
  <c r="I48" i="17"/>
  <c r="R48" i="17" s="1"/>
  <c r="H48" i="17"/>
  <c r="Q48" i="17" s="1"/>
  <c r="G48" i="17"/>
  <c r="P48" i="17" s="1"/>
  <c r="O40" i="17"/>
  <c r="S40" i="17" s="1"/>
  <c r="J40" i="17"/>
  <c r="I40" i="17"/>
  <c r="R40" i="17" s="1"/>
  <c r="H40" i="17"/>
  <c r="Q40" i="17" s="1"/>
  <c r="G40" i="17"/>
  <c r="P40" i="17" s="1"/>
  <c r="O39" i="17"/>
  <c r="J39" i="17"/>
  <c r="S39" i="17" s="1"/>
  <c r="I39" i="17"/>
  <c r="R39" i="17" s="1"/>
  <c r="H39" i="17"/>
  <c r="Q39" i="17" s="1"/>
  <c r="G39" i="17"/>
  <c r="P39" i="17" s="1"/>
  <c r="J30" i="17"/>
  <c r="I30" i="17"/>
  <c r="H30" i="17"/>
  <c r="G30" i="17"/>
  <c r="X30" i="18" l="1"/>
  <c r="O30" i="17"/>
  <c r="Q30" i="17" s="1"/>
  <c r="W29" i="17" s="1"/>
  <c r="C17" i="16"/>
  <c r="R49" i="16"/>
  <c r="Q49" i="16"/>
  <c r="P49" i="16"/>
  <c r="O48" i="16"/>
  <c r="I48" i="16"/>
  <c r="R48" i="16" s="1"/>
  <c r="H48" i="16"/>
  <c r="Q48" i="16" s="1"/>
  <c r="G48" i="16"/>
  <c r="P48" i="16" s="1"/>
  <c r="O40" i="16"/>
  <c r="J40" i="16"/>
  <c r="S40" i="16" s="1"/>
  <c r="I40" i="16"/>
  <c r="R40" i="16" s="1"/>
  <c r="H40" i="16"/>
  <c r="Q40" i="16" s="1"/>
  <c r="G40" i="16"/>
  <c r="P40" i="16" s="1"/>
  <c r="O39" i="16"/>
  <c r="J39" i="16"/>
  <c r="S39" i="16" s="1"/>
  <c r="I39" i="16"/>
  <c r="R39" i="16" s="1"/>
  <c r="H39" i="16"/>
  <c r="Q39" i="16" s="1"/>
  <c r="G39" i="16"/>
  <c r="P39" i="16" s="1"/>
  <c r="J30" i="16"/>
  <c r="I30" i="16"/>
  <c r="H30" i="16"/>
  <c r="G30" i="16"/>
  <c r="O30" i="16"/>
  <c r="G39" i="15"/>
  <c r="I30" i="15"/>
  <c r="P30" i="17" l="1"/>
  <c r="V29" i="17" s="1"/>
  <c r="S30" i="17"/>
  <c r="R30" i="17"/>
  <c r="X29" i="17" s="1"/>
  <c r="Q30" i="16"/>
  <c r="W29" i="16" s="1"/>
  <c r="R30" i="16"/>
  <c r="X29" i="16" s="1"/>
  <c r="S30" i="16"/>
  <c r="P30" i="16"/>
  <c r="V29" i="16" s="1"/>
  <c r="C17" i="15"/>
  <c r="H39" i="15"/>
  <c r="R49" i="15"/>
  <c r="Q49" i="15"/>
  <c r="P49" i="15"/>
  <c r="O48" i="15"/>
  <c r="I48" i="15"/>
  <c r="R48" i="15" s="1"/>
  <c r="H48" i="15"/>
  <c r="Q48" i="15" s="1"/>
  <c r="G48" i="15"/>
  <c r="O40" i="15"/>
  <c r="J40" i="15"/>
  <c r="S40" i="15" s="1"/>
  <c r="I40" i="15"/>
  <c r="R40" i="15" s="1"/>
  <c r="H40" i="15"/>
  <c r="Q40" i="15" s="1"/>
  <c r="G40" i="15"/>
  <c r="P40" i="15" s="1"/>
  <c r="O39" i="15"/>
  <c r="P39" i="15" s="1"/>
  <c r="J39" i="15"/>
  <c r="I39" i="15"/>
  <c r="R39" i="15" s="1"/>
  <c r="J30" i="15"/>
  <c r="H30" i="15"/>
  <c r="G30" i="15"/>
  <c r="O30" i="15"/>
  <c r="P30" i="15" l="1"/>
  <c r="V29" i="15" s="1"/>
  <c r="P48" i="15"/>
  <c r="Q30" i="15"/>
  <c r="Q39" i="15"/>
  <c r="R30" i="15"/>
  <c r="X29" i="15" s="1"/>
  <c r="S30" i="15"/>
  <c r="S39" i="15"/>
  <c r="C23" i="14"/>
  <c r="H30" i="14"/>
  <c r="G30" i="14"/>
  <c r="C17" i="14"/>
  <c r="R49" i="14"/>
  <c r="Q49" i="14"/>
  <c r="P49" i="14"/>
  <c r="O48" i="14"/>
  <c r="I48" i="14"/>
  <c r="R48" i="14" s="1"/>
  <c r="H48" i="14"/>
  <c r="G48" i="14"/>
  <c r="O40" i="14"/>
  <c r="S40" i="14" s="1"/>
  <c r="J40" i="14"/>
  <c r="I40" i="14"/>
  <c r="R40" i="14" s="1"/>
  <c r="H40" i="14"/>
  <c r="Q40" i="14" s="1"/>
  <c r="G40" i="14"/>
  <c r="P40" i="14" s="1"/>
  <c r="O39" i="14"/>
  <c r="J39" i="14"/>
  <c r="S39" i="14" s="1"/>
  <c r="I39" i="14"/>
  <c r="R39" i="14" s="1"/>
  <c r="H39" i="14"/>
  <c r="Q39" i="14" s="1"/>
  <c r="G39" i="14"/>
  <c r="P39" i="14" s="1"/>
  <c r="J30" i="14"/>
  <c r="I30" i="14"/>
  <c r="C23" i="13"/>
  <c r="C17" i="13"/>
  <c r="P48" i="14" l="1"/>
  <c r="O30" i="14"/>
  <c r="W29" i="15"/>
  <c r="Q48" i="14"/>
  <c r="P30" i="14"/>
  <c r="S30" i="14"/>
  <c r="Q30" i="14"/>
  <c r="R30" i="14"/>
  <c r="H30" i="12"/>
  <c r="Q30" i="12" s="1"/>
  <c r="I30" i="12"/>
  <c r="R49" i="13"/>
  <c r="Q49" i="13"/>
  <c r="P49" i="13"/>
  <c r="O48" i="13"/>
  <c r="I48" i="13"/>
  <c r="R48" i="13" s="1"/>
  <c r="H48" i="13"/>
  <c r="Q48" i="13" s="1"/>
  <c r="G48" i="13"/>
  <c r="O40" i="13"/>
  <c r="J40" i="13"/>
  <c r="I40" i="13"/>
  <c r="R40" i="13" s="1"/>
  <c r="H40" i="13"/>
  <c r="G40" i="13"/>
  <c r="P40" i="13" s="1"/>
  <c r="O39" i="13"/>
  <c r="J39" i="13"/>
  <c r="S39" i="13" s="1"/>
  <c r="I39" i="13"/>
  <c r="R39" i="13" s="1"/>
  <c r="H39" i="13"/>
  <c r="Q39" i="13" s="1"/>
  <c r="G39" i="13"/>
  <c r="P39" i="13" s="1"/>
  <c r="O30" i="13"/>
  <c r="J30" i="13"/>
  <c r="I30" i="13"/>
  <c r="R30" i="13" s="1"/>
  <c r="H30" i="13"/>
  <c r="G30" i="13"/>
  <c r="C17" i="12"/>
  <c r="R49" i="12"/>
  <c r="Q49" i="12"/>
  <c r="P49" i="12"/>
  <c r="O48" i="12"/>
  <c r="I48" i="12"/>
  <c r="R48" i="12" s="1"/>
  <c r="H48" i="12"/>
  <c r="Q48" i="12" s="1"/>
  <c r="G48" i="12"/>
  <c r="P48" i="12" s="1"/>
  <c r="O40" i="12"/>
  <c r="J40" i="12"/>
  <c r="S40" i="12" s="1"/>
  <c r="I40" i="12"/>
  <c r="R40" i="12" s="1"/>
  <c r="H40" i="12"/>
  <c r="G40" i="12"/>
  <c r="P40" i="12" s="1"/>
  <c r="O39" i="12"/>
  <c r="J39" i="12"/>
  <c r="I39" i="12"/>
  <c r="H39" i="12"/>
  <c r="Q39" i="12" s="1"/>
  <c r="G39" i="12"/>
  <c r="P39" i="12" s="1"/>
  <c r="O30" i="12"/>
  <c r="J30" i="12"/>
  <c r="G30" i="12"/>
  <c r="P30" i="12" s="1"/>
  <c r="Q40" i="12" l="1"/>
  <c r="S40" i="13"/>
  <c r="R39" i="12"/>
  <c r="P48" i="13"/>
  <c r="P30" i="13"/>
  <c r="Q30" i="13"/>
  <c r="S30" i="13"/>
  <c r="S30" i="12"/>
  <c r="Q40" i="13"/>
  <c r="R30" i="12"/>
  <c r="S39" i="12"/>
  <c r="R49" i="11"/>
  <c r="Q49" i="11"/>
  <c r="P49" i="11"/>
  <c r="O48" i="11"/>
  <c r="I48" i="11"/>
  <c r="R48" i="11" s="1"/>
  <c r="H48" i="11"/>
  <c r="G48" i="11"/>
  <c r="O40" i="11"/>
  <c r="J40" i="11"/>
  <c r="S40" i="11" s="1"/>
  <c r="I40" i="11"/>
  <c r="R40" i="11" s="1"/>
  <c r="H40" i="11"/>
  <c r="Q40" i="11" s="1"/>
  <c r="G40" i="11"/>
  <c r="P40" i="11" s="1"/>
  <c r="O39" i="11"/>
  <c r="J39" i="11"/>
  <c r="S39" i="11" s="1"/>
  <c r="I39" i="11"/>
  <c r="R39" i="11" s="1"/>
  <c r="H39" i="11"/>
  <c r="Q39" i="11" s="1"/>
  <c r="G39" i="11"/>
  <c r="P39" i="11" s="1"/>
  <c r="O30" i="11"/>
  <c r="J30" i="11"/>
  <c r="I30" i="11"/>
  <c r="H30" i="11"/>
  <c r="G30" i="11"/>
  <c r="P30" i="11" l="1"/>
  <c r="P48" i="11"/>
  <c r="R30" i="11"/>
  <c r="Q48" i="11"/>
  <c r="Q30" i="11"/>
  <c r="S30" i="11"/>
  <c r="I30" i="10"/>
  <c r="H30" i="10"/>
  <c r="G30" i="10"/>
  <c r="C22" i="10"/>
  <c r="O30" i="10"/>
  <c r="P30" i="10" s="1"/>
  <c r="R49" i="10"/>
  <c r="Q49" i="10"/>
  <c r="P49" i="10"/>
  <c r="O48" i="10"/>
  <c r="I48" i="10"/>
  <c r="H48" i="10"/>
  <c r="G48" i="10"/>
  <c r="O40" i="10"/>
  <c r="J40" i="10"/>
  <c r="S40" i="10" s="1"/>
  <c r="I40" i="10"/>
  <c r="R40" i="10" s="1"/>
  <c r="H40" i="10"/>
  <c r="Q40" i="10" s="1"/>
  <c r="G40" i="10"/>
  <c r="P40" i="10" s="1"/>
  <c r="O39" i="10"/>
  <c r="J39" i="10"/>
  <c r="I39" i="10"/>
  <c r="H39" i="10"/>
  <c r="G39" i="10"/>
  <c r="P39" i="10" s="1"/>
  <c r="J30" i="10"/>
  <c r="S39" i="10" l="1"/>
  <c r="P48" i="10"/>
  <c r="Q48" i="10"/>
  <c r="R48" i="10"/>
  <c r="Q39" i="10"/>
  <c r="R39" i="10"/>
  <c r="R30" i="10"/>
  <c r="S30" i="10"/>
  <c r="Q30" i="10"/>
  <c r="I30" i="9"/>
  <c r="R30" i="9" s="1"/>
  <c r="H30" i="9"/>
  <c r="Q30" i="9" s="1"/>
  <c r="G30" i="9"/>
  <c r="P30" i="9" s="1"/>
  <c r="R48" i="9"/>
  <c r="P49" i="9"/>
  <c r="O48" i="9"/>
  <c r="O39" i="9"/>
  <c r="I48" i="9"/>
  <c r="H48" i="9"/>
  <c r="Q48" i="9" s="1"/>
  <c r="G48" i="9"/>
  <c r="P48" i="9" s="1"/>
  <c r="I39" i="9"/>
  <c r="R39" i="9" s="1"/>
  <c r="H39" i="9"/>
  <c r="Q39" i="9" s="1"/>
  <c r="G39" i="9"/>
  <c r="P39" i="9" s="1"/>
  <c r="Q49" i="9"/>
  <c r="R49" i="9"/>
  <c r="O40" i="9"/>
  <c r="J40" i="9"/>
  <c r="S40" i="9" s="1"/>
  <c r="I40" i="9"/>
  <c r="R40" i="9" s="1"/>
  <c r="H40" i="9"/>
  <c r="Q40" i="9" s="1"/>
  <c r="G40" i="9"/>
  <c r="P40" i="9" s="1"/>
  <c r="J39" i="9"/>
  <c r="S39" i="9" s="1"/>
  <c r="O30" i="9"/>
  <c r="J30" i="9"/>
  <c r="S30" i="9" s="1"/>
  <c r="G30" i="8" l="1"/>
  <c r="E17" i="8"/>
  <c r="O39" i="8" l="1"/>
  <c r="O48" i="8"/>
  <c r="I48" i="8"/>
  <c r="R48" i="8" s="1"/>
  <c r="I39" i="8"/>
  <c r="H48" i="8"/>
  <c r="Q48" i="8" s="1"/>
  <c r="H39" i="8"/>
  <c r="G48" i="8"/>
  <c r="G39" i="8"/>
  <c r="P48" i="8"/>
  <c r="O31" i="7"/>
  <c r="G31" i="7"/>
  <c r="G39" i="7"/>
  <c r="O49" i="8"/>
  <c r="I49" i="8"/>
  <c r="R49" i="8" s="1"/>
  <c r="H49" i="8"/>
  <c r="G49" i="8"/>
  <c r="O40" i="8"/>
  <c r="J40" i="8"/>
  <c r="I40" i="8"/>
  <c r="R40" i="8" s="1"/>
  <c r="H40" i="8"/>
  <c r="G40" i="8"/>
  <c r="P40" i="8" s="1"/>
  <c r="J39" i="8"/>
  <c r="J30" i="8"/>
  <c r="I30" i="8"/>
  <c r="H30" i="8"/>
  <c r="C17" i="8"/>
  <c r="O30" i="8" s="1"/>
  <c r="P30" i="8" s="1"/>
  <c r="S40" i="8" l="1"/>
  <c r="P49" i="8"/>
  <c r="R39" i="8"/>
  <c r="Q49" i="8"/>
  <c r="Q39" i="8"/>
  <c r="P39" i="8"/>
  <c r="S39" i="8"/>
  <c r="R30" i="8"/>
  <c r="S30" i="8"/>
  <c r="Q30" i="8"/>
  <c r="Q40" i="8"/>
  <c r="S30" i="7"/>
  <c r="I30" i="7"/>
  <c r="H30" i="7"/>
  <c r="G30" i="7"/>
  <c r="P30" i="7" s="1"/>
  <c r="C17" i="7"/>
  <c r="O30" i="7" s="1"/>
  <c r="O49" i="7"/>
  <c r="I49" i="7"/>
  <c r="R49" i="7" s="1"/>
  <c r="H49" i="7"/>
  <c r="Q49" i="7" s="1"/>
  <c r="G49" i="7"/>
  <c r="P49" i="7" s="1"/>
  <c r="O48" i="7"/>
  <c r="I48" i="7"/>
  <c r="R48" i="7" s="1"/>
  <c r="H48" i="7"/>
  <c r="Q48" i="7" s="1"/>
  <c r="G48" i="7"/>
  <c r="P48" i="7" s="1"/>
  <c r="O40" i="7"/>
  <c r="J40" i="7"/>
  <c r="S40" i="7" s="1"/>
  <c r="I40" i="7"/>
  <c r="R40" i="7" s="1"/>
  <c r="H40" i="7"/>
  <c r="Q40" i="7" s="1"/>
  <c r="G40" i="7"/>
  <c r="P40" i="7" s="1"/>
  <c r="O39" i="7"/>
  <c r="J39" i="7"/>
  <c r="I39" i="7"/>
  <c r="H39" i="7"/>
  <c r="P39" i="7"/>
  <c r="J31" i="7"/>
  <c r="I31" i="7"/>
  <c r="R31" i="7" s="1"/>
  <c r="H31" i="7"/>
  <c r="J30" i="7"/>
  <c r="Q39" i="7" l="1"/>
  <c r="R39" i="7"/>
  <c r="Q30" i="7"/>
  <c r="R30" i="7"/>
  <c r="P31" i="7"/>
  <c r="S31" i="7"/>
  <c r="Q31" i="7"/>
  <c r="S39" i="7"/>
  <c r="O30" i="6"/>
  <c r="G30" i="6"/>
  <c r="D17" i="6"/>
  <c r="O31" i="6" s="1"/>
  <c r="P31" i="6" s="1"/>
  <c r="J31" i="6"/>
  <c r="J30" i="6"/>
  <c r="S30" i="6" s="1"/>
  <c r="I30" i="6"/>
  <c r="H30" i="6"/>
  <c r="C17" i="6"/>
  <c r="O49" i="6"/>
  <c r="I49" i="6"/>
  <c r="R49" i="6" s="1"/>
  <c r="H49" i="6"/>
  <c r="Q49" i="6" s="1"/>
  <c r="G49" i="6"/>
  <c r="P49" i="6" s="1"/>
  <c r="O48" i="6"/>
  <c r="I48" i="6"/>
  <c r="R48" i="6" s="1"/>
  <c r="H48" i="6"/>
  <c r="Q48" i="6" s="1"/>
  <c r="G48" i="6"/>
  <c r="P48" i="6" s="1"/>
  <c r="O40" i="6"/>
  <c r="J40" i="6"/>
  <c r="S40" i="6" s="1"/>
  <c r="I40" i="6"/>
  <c r="R40" i="6" s="1"/>
  <c r="H40" i="6"/>
  <c r="Q40" i="6" s="1"/>
  <c r="G40" i="6"/>
  <c r="P40" i="6" s="1"/>
  <c r="O39" i="6"/>
  <c r="J39" i="6"/>
  <c r="S39" i="6" s="1"/>
  <c r="I39" i="6"/>
  <c r="R39" i="6" s="1"/>
  <c r="H39" i="6"/>
  <c r="Q39" i="6" s="1"/>
  <c r="G39" i="6"/>
  <c r="P39" i="6" s="1"/>
  <c r="I31" i="6"/>
  <c r="H31" i="6"/>
  <c r="G31" i="6"/>
  <c r="P30" i="6" l="1"/>
  <c r="R30" i="6"/>
  <c r="R31" i="6"/>
  <c r="S31" i="6"/>
  <c r="Q30" i="6"/>
  <c r="Q31" i="6"/>
  <c r="C24" i="5" l="1"/>
  <c r="C19" i="5"/>
  <c r="C23" i="5" l="1"/>
  <c r="O39" i="5"/>
  <c r="C17" i="5"/>
  <c r="O31" i="5" s="1"/>
  <c r="C22" i="5"/>
  <c r="J30" i="5"/>
  <c r="O49" i="5"/>
  <c r="I49" i="5"/>
  <c r="R49" i="5" s="1"/>
  <c r="H49" i="5"/>
  <c r="G49" i="5"/>
  <c r="O48" i="5"/>
  <c r="I48" i="5"/>
  <c r="R48" i="5" s="1"/>
  <c r="H48" i="5"/>
  <c r="G48" i="5"/>
  <c r="O40" i="5"/>
  <c r="Q40" i="5" s="1"/>
  <c r="J40" i="5"/>
  <c r="I40" i="5"/>
  <c r="H40" i="5"/>
  <c r="G40" i="5"/>
  <c r="J39" i="5"/>
  <c r="I39" i="5"/>
  <c r="H39" i="5"/>
  <c r="Q39" i="5" s="1"/>
  <c r="G39" i="5"/>
  <c r="P39" i="5" s="1"/>
  <c r="J31" i="5"/>
  <c r="I31" i="5"/>
  <c r="H31" i="5"/>
  <c r="G31" i="5"/>
  <c r="I30" i="5"/>
  <c r="H30" i="5"/>
  <c r="G30" i="5"/>
  <c r="P40" i="5" l="1"/>
  <c r="O30" i="5"/>
  <c r="R40" i="5"/>
  <c r="P48" i="5"/>
  <c r="P49" i="5"/>
  <c r="S40" i="5"/>
  <c r="Q48" i="5"/>
  <c r="Q49" i="5"/>
  <c r="S30" i="5"/>
  <c r="P31" i="5"/>
  <c r="R31" i="5"/>
  <c r="Q31" i="5"/>
  <c r="R39" i="5"/>
  <c r="S31" i="5"/>
  <c r="S39" i="5"/>
  <c r="O46" i="4"/>
  <c r="I46" i="4"/>
  <c r="H46" i="4"/>
  <c r="G46" i="4"/>
  <c r="O45" i="4"/>
  <c r="I45" i="4"/>
  <c r="R45" i="4" s="1"/>
  <c r="H45" i="4"/>
  <c r="Q45" i="4" s="1"/>
  <c r="G45" i="4"/>
  <c r="P45" i="4" s="1"/>
  <c r="O37" i="4"/>
  <c r="J37" i="4"/>
  <c r="S37" i="4" s="1"/>
  <c r="I37" i="4"/>
  <c r="R37" i="4" s="1"/>
  <c r="H37" i="4"/>
  <c r="Q37" i="4" s="1"/>
  <c r="G37" i="4"/>
  <c r="P37" i="4" s="1"/>
  <c r="O36" i="4"/>
  <c r="Q36" i="4" s="1"/>
  <c r="J36" i="4"/>
  <c r="I36" i="4"/>
  <c r="H36" i="4"/>
  <c r="G36" i="4"/>
  <c r="O28" i="4"/>
  <c r="J28" i="4"/>
  <c r="S28" i="4" s="1"/>
  <c r="I28" i="4"/>
  <c r="R28" i="4" s="1"/>
  <c r="H28" i="4"/>
  <c r="Q28" i="4" s="1"/>
  <c r="G28" i="4"/>
  <c r="P28" i="4" s="1"/>
  <c r="O27" i="4"/>
  <c r="J27" i="4"/>
  <c r="I27" i="4"/>
  <c r="R27" i="4" s="1"/>
  <c r="H27" i="4"/>
  <c r="Q27" i="4" s="1"/>
  <c r="G27" i="4"/>
  <c r="P27" i="4" s="1"/>
  <c r="P46" i="4" l="1"/>
  <c r="P36" i="4"/>
  <c r="Q46" i="4"/>
  <c r="R36" i="4"/>
  <c r="R46" i="4"/>
  <c r="P30" i="5"/>
  <c r="R30" i="5"/>
  <c r="Q30" i="5"/>
  <c r="S27" i="4"/>
  <c r="S36" i="4"/>
  <c r="O28" i="3"/>
  <c r="I36" i="3"/>
  <c r="H36" i="3"/>
  <c r="Q36" i="3" s="1"/>
  <c r="O46" i="3"/>
  <c r="I46" i="3"/>
  <c r="R46" i="3" s="1"/>
  <c r="H46" i="3"/>
  <c r="Q46" i="3" s="1"/>
  <c r="G46" i="3"/>
  <c r="O45" i="3"/>
  <c r="I45" i="3"/>
  <c r="H45" i="3"/>
  <c r="Q45" i="3" s="1"/>
  <c r="G45" i="3"/>
  <c r="P45" i="3" s="1"/>
  <c r="O37" i="3"/>
  <c r="J37" i="3"/>
  <c r="S37" i="3" s="1"/>
  <c r="I37" i="3"/>
  <c r="R37" i="3" s="1"/>
  <c r="H37" i="3"/>
  <c r="Q37" i="3" s="1"/>
  <c r="G37" i="3"/>
  <c r="P37" i="3" s="1"/>
  <c r="O36" i="3"/>
  <c r="J36" i="3"/>
  <c r="S36" i="3" s="1"/>
  <c r="G36" i="3"/>
  <c r="P36" i="3" s="1"/>
  <c r="J28" i="3"/>
  <c r="I28" i="3"/>
  <c r="H28" i="3"/>
  <c r="G28" i="3"/>
  <c r="J27" i="3"/>
  <c r="I27" i="3"/>
  <c r="H27" i="3"/>
  <c r="G27" i="3"/>
  <c r="R36" i="3" l="1"/>
  <c r="R45" i="3"/>
  <c r="P46" i="3"/>
  <c r="O27" i="3"/>
  <c r="P27" i="3" s="1"/>
  <c r="R27" i="3"/>
  <c r="Q28" i="3"/>
  <c r="P28" i="3"/>
  <c r="R28" i="3"/>
  <c r="S28" i="3"/>
  <c r="S27" i="3"/>
  <c r="Q27" i="3" l="1"/>
  <c r="O36" i="2"/>
  <c r="O27" i="2"/>
  <c r="J36" i="2"/>
  <c r="S36" i="2" s="1"/>
  <c r="I36" i="2"/>
  <c r="R36" i="2" s="1"/>
  <c r="H36" i="2"/>
  <c r="Q36" i="2" s="1"/>
  <c r="G36" i="2"/>
  <c r="P36" i="2" s="1"/>
  <c r="G27" i="2"/>
  <c r="O37" i="2"/>
  <c r="Q37" i="2" s="1"/>
  <c r="J37" i="2"/>
  <c r="I37" i="2"/>
  <c r="R37" i="2" s="1"/>
  <c r="H37" i="2"/>
  <c r="G37" i="2"/>
  <c r="J27" i="2"/>
  <c r="C19" i="2"/>
  <c r="S37" i="2" l="1"/>
  <c r="P37" i="2"/>
  <c r="J28" i="2"/>
  <c r="I27" i="2"/>
  <c r="R27" i="2" l="1"/>
  <c r="Q27" i="2"/>
  <c r="P27" i="2"/>
  <c r="S27" i="2"/>
  <c r="C17" i="1"/>
  <c r="O46" i="2"/>
  <c r="I46" i="2"/>
  <c r="R46" i="2" s="1"/>
  <c r="H46" i="2"/>
  <c r="Q46" i="2" s="1"/>
  <c r="G46" i="2"/>
  <c r="O45" i="2"/>
  <c r="I45" i="2"/>
  <c r="R45" i="2" s="1"/>
  <c r="H45" i="2"/>
  <c r="Q45" i="2" s="1"/>
  <c r="G45" i="2"/>
  <c r="I28" i="2"/>
  <c r="H28" i="2"/>
  <c r="G28" i="2"/>
  <c r="H27" i="2"/>
  <c r="P45" i="2" l="1"/>
  <c r="P46" i="2"/>
  <c r="O28" i="2"/>
  <c r="P28" i="2" l="1"/>
  <c r="S28" i="2"/>
  <c r="R28" i="2"/>
  <c r="Q28" i="2"/>
  <c r="N27" i="1"/>
  <c r="G27" i="1"/>
  <c r="O27" i="1" l="1"/>
  <c r="H45" i="1"/>
  <c r="G45" i="1"/>
  <c r="G36" i="1"/>
  <c r="G28" i="1"/>
  <c r="I28" i="1"/>
  <c r="I27" i="1"/>
  <c r="I46" i="1" l="1"/>
  <c r="I45" i="1"/>
  <c r="H46" i="1"/>
  <c r="G46" i="1"/>
  <c r="H27" i="1" l="1"/>
  <c r="N46" i="1" l="1"/>
  <c r="P46" i="1" s="1"/>
  <c r="N45" i="1"/>
  <c r="N37" i="1"/>
  <c r="N28" i="1"/>
  <c r="O28" i="1" s="1"/>
  <c r="N36" i="1"/>
  <c r="I37" i="1"/>
  <c r="I36" i="1"/>
  <c r="H37" i="1"/>
  <c r="H36" i="1"/>
  <c r="G37" i="1"/>
  <c r="H28" i="1"/>
  <c r="O45" i="1" l="1"/>
  <c r="Q45" i="1"/>
  <c r="P45" i="1"/>
  <c r="Q46" i="1"/>
  <c r="O46" i="1"/>
  <c r="P37" i="1"/>
  <c r="P28" i="1"/>
  <c r="Q28" i="1"/>
  <c r="P27" i="1" l="1"/>
  <c r="Q37" i="1"/>
  <c r="O37" i="1"/>
  <c r="Q27" i="1" l="1"/>
  <c r="Q36" i="1"/>
  <c r="O36" i="1"/>
  <c r="P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1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JAD-JAD</t>
        </r>
      </text>
    </comment>
    <comment ref="C1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TRAIN
</t>
        </r>
      </text>
    </comment>
    <comment ref="C1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TAIF TRANSPORT ONLY</t>
        </r>
      </text>
    </comment>
  </commentList>
</comments>
</file>

<file path=xl/sharedStrings.xml><?xml version="1.0" encoding="utf-8"?>
<sst xmlns="http://schemas.openxmlformats.org/spreadsheetml/2006/main" count="3178" uniqueCount="137">
  <si>
    <t>Cost</t>
  </si>
  <si>
    <t>PACKAGE</t>
  </si>
  <si>
    <t>DBL</t>
  </si>
  <si>
    <t>TPL</t>
  </si>
  <si>
    <t>QUAD</t>
  </si>
  <si>
    <t xml:space="preserve">GOLDEN </t>
  </si>
  <si>
    <t>Transport</t>
  </si>
  <si>
    <t>Snaks &amp; Juice</t>
  </si>
  <si>
    <t>Meal Mak/Med</t>
  </si>
  <si>
    <t>PROFIT</t>
  </si>
  <si>
    <t>Sales</t>
  </si>
  <si>
    <t>Package</t>
  </si>
  <si>
    <t>Golden</t>
  </si>
  <si>
    <t>GOLDEN</t>
  </si>
  <si>
    <t>TOTAL</t>
  </si>
  <si>
    <t>EXPENSES</t>
  </si>
  <si>
    <t>M/P</t>
  </si>
  <si>
    <t>Hotel</t>
  </si>
  <si>
    <t xml:space="preserve">Silver </t>
  </si>
  <si>
    <t>SILVER</t>
  </si>
  <si>
    <t>DATE</t>
  </si>
  <si>
    <t>FROM</t>
  </si>
  <si>
    <t>TO</t>
  </si>
  <si>
    <t>NTS</t>
  </si>
  <si>
    <t>MAKKAH</t>
  </si>
  <si>
    <t>MADINAH</t>
  </si>
  <si>
    <t>35+</t>
  </si>
  <si>
    <t>25-34</t>
  </si>
  <si>
    <t>PAX</t>
  </si>
  <si>
    <t xml:space="preserve">FB </t>
  </si>
  <si>
    <t>Visa</t>
  </si>
  <si>
    <t>Al Ritz</t>
  </si>
  <si>
    <t>Economy</t>
  </si>
  <si>
    <t>Silver</t>
  </si>
  <si>
    <t>Services</t>
  </si>
  <si>
    <t>Arjwan Al Diafah</t>
  </si>
  <si>
    <t>all rates with saudi riyal  Per Pax .
Pleas note that Duration of stay in Medina is 4 days and in Mecca is 4 days. 
Minimum Occupany in DBL room is 2 pax, in TPL 3 Pax, in Quad 4 Pax the rates may be changes in high seasons .
transport in saudia including (  APT to HTL )&amp;( Makkah to Madina ) &amp; (Mazarat Makkah &amp; Madina )&amp; ( HTL to APT).
Snacks, Water and juice on a trip to Mecca and Medina. in Golden and Silver Package .
Tasrih Umra &amp; Tasrih Rauda .
Hotels in makkah &amp; Madina room Bassed On FB Asia</t>
  </si>
  <si>
    <t>Ground Handling</t>
  </si>
  <si>
    <t>Haya Alamy</t>
  </si>
  <si>
    <t>25/01/2026</t>
  </si>
  <si>
    <t>28/01/2026</t>
  </si>
  <si>
    <t>Royal Majestic</t>
  </si>
  <si>
    <t>Odest</t>
  </si>
  <si>
    <t xml:space="preserve">Qoutation  </t>
  </si>
  <si>
    <t>QUINT</t>
  </si>
  <si>
    <t>Taiba Front</t>
  </si>
  <si>
    <t>Azka Al Safa</t>
  </si>
  <si>
    <t>23/12/2025</t>
  </si>
  <si>
    <t>27/12/2025</t>
  </si>
  <si>
    <t>31/12/2025</t>
  </si>
  <si>
    <t>Maden Taiba</t>
  </si>
  <si>
    <t>13/12/2025</t>
  </si>
  <si>
    <t>Olyaan</t>
  </si>
  <si>
    <t>Alansar Golden Tulip</t>
  </si>
  <si>
    <t>Maysan Al Maqam</t>
  </si>
  <si>
    <t>30/11/2025</t>
  </si>
  <si>
    <t xml:space="preserve">Meal </t>
  </si>
  <si>
    <t>TIPS</t>
  </si>
  <si>
    <t>13/02/2026</t>
  </si>
  <si>
    <t>21/02/2026</t>
  </si>
  <si>
    <t>17/02/2026</t>
  </si>
  <si>
    <t>2 PAX</t>
  </si>
  <si>
    <t>5 PAX</t>
  </si>
  <si>
    <t>16/10/2025</t>
  </si>
  <si>
    <t>19/10/2025</t>
  </si>
  <si>
    <t>10 PAX</t>
  </si>
  <si>
    <t>golden tulip</t>
  </si>
  <si>
    <t>olayan ajyad</t>
  </si>
  <si>
    <t>Staria</t>
  </si>
  <si>
    <t>Hiace</t>
  </si>
  <si>
    <t>Bus</t>
  </si>
  <si>
    <t>18/2/2026</t>
  </si>
  <si>
    <t>28/2/2026</t>
  </si>
  <si>
    <t>22/2/2026</t>
  </si>
  <si>
    <t>15/12/2025</t>
  </si>
  <si>
    <t>Snood</t>
  </si>
  <si>
    <t>Madin Tayba</t>
  </si>
  <si>
    <t>Olyan</t>
  </si>
  <si>
    <t>Safwa</t>
  </si>
  <si>
    <t>Nawazi Tower</t>
  </si>
  <si>
    <t>RO</t>
  </si>
  <si>
    <t>Safwah Orchid</t>
  </si>
  <si>
    <t>Al Hayat International</t>
  </si>
  <si>
    <t>Hayat International</t>
  </si>
  <si>
    <t>18/12/2025</t>
  </si>
  <si>
    <t>puiiman zamzam</t>
  </si>
  <si>
    <t>22/12/2025</t>
  </si>
  <si>
    <t>Jeddah Howada</t>
  </si>
  <si>
    <t>Le Meridien Tower</t>
  </si>
  <si>
    <t>Nada Ajyad</t>
  </si>
  <si>
    <t>Anjum</t>
  </si>
  <si>
    <t xml:space="preserve">Zowar Inter </t>
  </si>
  <si>
    <t xml:space="preserve"> </t>
  </si>
  <si>
    <t>Durrat Al Eiman</t>
  </si>
  <si>
    <t>Azka Alsafa</t>
  </si>
  <si>
    <t xml:space="preserve"> Haramain Train</t>
  </si>
  <si>
    <t xml:space="preserve">Le meridien Tower </t>
  </si>
  <si>
    <t>16/1/2026</t>
  </si>
  <si>
    <t xml:space="preserve">Jawharat </t>
  </si>
  <si>
    <t>Rowaa Al Deyafa</t>
  </si>
  <si>
    <t>Grand Al Massa</t>
  </si>
  <si>
    <t>14/1/2026</t>
  </si>
  <si>
    <t>30 PAX</t>
  </si>
  <si>
    <t xml:space="preserve">Hayat Internasional </t>
  </si>
  <si>
    <t>01/27/2026</t>
  </si>
  <si>
    <t>01/30/2026</t>
  </si>
  <si>
    <t>Le Meridian Tower</t>
  </si>
  <si>
    <t>145 PAX</t>
  </si>
  <si>
    <t>Motawaf</t>
  </si>
  <si>
    <t>2 Meals</t>
  </si>
  <si>
    <t xml:space="preserve">Safa Taibah </t>
  </si>
  <si>
    <t xml:space="preserve">  </t>
  </si>
  <si>
    <t>Al Haya intl</t>
  </si>
  <si>
    <t>02/23/2026</t>
  </si>
  <si>
    <t>02/20/2026</t>
  </si>
  <si>
    <t>02/27/2026</t>
  </si>
  <si>
    <t>Ansar Golden Tulip</t>
  </si>
  <si>
    <t>Azka Safa</t>
  </si>
  <si>
    <t>01/19/2026</t>
  </si>
  <si>
    <t>01/24/2026</t>
  </si>
  <si>
    <t>9PAX</t>
  </si>
  <si>
    <t>90 PAX</t>
  </si>
  <si>
    <t>02/15/2026</t>
  </si>
  <si>
    <t>02/18/2026</t>
  </si>
  <si>
    <t>Grand Almassa</t>
  </si>
  <si>
    <t>Artal</t>
  </si>
  <si>
    <t>01/21/2026</t>
  </si>
  <si>
    <t>Sawaed Al Khair</t>
  </si>
  <si>
    <t>20 PAX</t>
  </si>
  <si>
    <t xml:space="preserve">Concorde Dar Al Khair </t>
  </si>
  <si>
    <t>Safwa Tower 3</t>
  </si>
  <si>
    <t>7 PAX</t>
  </si>
  <si>
    <t xml:space="preserve"> Swaed el khair</t>
  </si>
  <si>
    <t>AlMehrab Taybah</t>
  </si>
  <si>
    <t>33 PAX</t>
  </si>
  <si>
    <t>02/14/2026</t>
  </si>
  <si>
    <t>190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</si>
</sst>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C6591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4" fillId="0" borderId="6" xfId="0" applyFont="1" applyBorder="1" applyAlignment="1">
      <alignment horizontal="center"/>
    </xf>
    <xf numFmtId="0" fontId="6" fillId="0" borderId="1" xfId="0" applyFont="1" applyBorder="1"/>
    <xf numFmtId="0" fontId="4" fillId="0" borderId="0" xfId="0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vertical="center" wrapText="1"/>
    </xf>
    <xf numFmtId="0" fontId="6" fillId="0" borderId="0" xfId="0" applyFont="1"/>
    <xf numFmtId="1" fontId="1" fillId="9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1" fontId="1" fillId="13" borderId="1" xfId="0" applyNumberFormat="1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0" xfId="0" applyNumberFormat="1" applyFont="1" applyFill="1" applyBorder="1" applyAlignment="1">
      <alignment horizontal="center" vertical="center" wrapText="1"/>
    </xf>
    <xf numFmtId="1" fontId="5" fillId="3" borderId="0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 wrapText="1"/>
    </xf>
    <xf numFmtId="1" fontId="8" fillId="12" borderId="0" xfId="0" applyNumberFormat="1" applyFont="1" applyFill="1" applyBorder="1" applyAlignment="1">
      <alignment horizontal="center" vertical="center" wrapText="1"/>
    </xf>
    <xf numFmtId="1" fontId="2" fillId="9" borderId="0" xfId="0" applyNumberFormat="1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4" fillId="0" borderId="0" xfId="0" applyNumberFormat="1" applyFont="1"/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1" fontId="7" fillId="13" borderId="1" xfId="0" applyNumberFormat="1" applyFont="1" applyFill="1" applyBorder="1" applyAlignment="1">
      <alignment horizontal="center" vertical="center" wrapText="1"/>
    </xf>
    <xf numFmtId="1" fontId="1" fillId="4" borderId="15" xfId="0" applyNumberFormat="1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1" fillId="3" borderId="14" xfId="0" applyNumberFormat="1" applyFont="1" applyFill="1" applyBorder="1" applyAlignment="1">
      <alignment horizontal="center" vertical="center" wrapText="1"/>
    </xf>
    <xf numFmtId="1" fontId="1" fillId="3" borderId="15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9" borderId="1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12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1" fontId="7" fillId="12" borderId="1" xfId="0" applyNumberFormat="1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57"/>
  <sheetViews>
    <sheetView topLeftCell="A4" zoomScale="88" zoomScaleNormal="88" workbookViewId="0">
      <selection activeCell="F16" sqref="F16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9" width="10" style="14" customWidth="1"/>
    <col min="10" max="10" width="9.7109375" style="14" customWidth="1"/>
    <col min="11" max="11" width="20.5703125" style="14" customWidth="1"/>
    <col min="12" max="12" width="5.42578125" style="14" bestFit="1" customWidth="1"/>
    <col min="13" max="13" width="15.140625" style="14" customWidth="1"/>
    <col min="14" max="14" width="15.28515625" style="14" customWidth="1"/>
    <col min="15" max="16" width="8.85546875" style="14"/>
    <col min="17" max="17" width="8.140625" style="14" customWidth="1"/>
    <col min="18" max="16384" width="8.85546875" style="14"/>
  </cols>
  <sheetData>
    <row r="4" spans="1:18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10"/>
    </row>
    <row r="5" spans="1:18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3"/>
    </row>
    <row r="6" spans="1:18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14" t="s">
        <v>24</v>
      </c>
      <c r="L6" s="215"/>
      <c r="M6" s="215"/>
      <c r="N6" s="215"/>
      <c r="O6" s="215"/>
      <c r="P6" s="215"/>
      <c r="Q6" s="215"/>
      <c r="R6" s="216"/>
    </row>
    <row r="7" spans="1:18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02" t="s">
        <v>16</v>
      </c>
      <c r="K7" s="218" t="s">
        <v>17</v>
      </c>
      <c r="L7" s="218" t="s">
        <v>23</v>
      </c>
      <c r="M7" s="218" t="s">
        <v>20</v>
      </c>
      <c r="N7" s="218"/>
      <c r="O7" s="218" t="s">
        <v>2</v>
      </c>
      <c r="P7" s="218" t="s">
        <v>3</v>
      </c>
      <c r="Q7" s="218" t="s">
        <v>4</v>
      </c>
      <c r="R7" s="217" t="s">
        <v>16</v>
      </c>
    </row>
    <row r="8" spans="1:18" ht="15.75" x14ac:dyDescent="0.25">
      <c r="B8" s="207"/>
      <c r="C8" s="201"/>
      <c r="D8" s="201"/>
      <c r="E8" s="2" t="s">
        <v>21</v>
      </c>
      <c r="F8" s="2" t="s">
        <v>22</v>
      </c>
      <c r="G8" s="201"/>
      <c r="H8" s="201"/>
      <c r="I8" s="201"/>
      <c r="J8" s="202"/>
      <c r="K8" s="218"/>
      <c r="L8" s="218"/>
      <c r="M8" s="4" t="s">
        <v>21</v>
      </c>
      <c r="N8" s="4" t="s">
        <v>22</v>
      </c>
      <c r="O8" s="218"/>
      <c r="P8" s="218"/>
      <c r="Q8" s="218"/>
      <c r="R8" s="217"/>
    </row>
    <row r="9" spans="1:18" ht="15.75" x14ac:dyDescent="0.25">
      <c r="A9" s="15"/>
      <c r="B9" s="22" t="s">
        <v>5</v>
      </c>
      <c r="C9" s="23" t="s">
        <v>38</v>
      </c>
      <c r="D9" s="5">
        <v>3</v>
      </c>
      <c r="E9" s="3" t="s">
        <v>39</v>
      </c>
      <c r="F9" s="3" t="s">
        <v>40</v>
      </c>
      <c r="G9" s="1">
        <v>590</v>
      </c>
      <c r="H9" s="1">
        <v>635</v>
      </c>
      <c r="I9" s="1">
        <v>680</v>
      </c>
      <c r="J9" s="1" t="s">
        <v>29</v>
      </c>
      <c r="K9" s="10" t="s">
        <v>41</v>
      </c>
      <c r="L9" s="10">
        <v>4</v>
      </c>
      <c r="M9" s="3" t="s">
        <v>40</v>
      </c>
      <c r="N9" s="3">
        <v>46024</v>
      </c>
      <c r="O9" s="9">
        <v>750</v>
      </c>
      <c r="P9" s="9">
        <v>825</v>
      </c>
      <c r="Q9" s="9">
        <v>890</v>
      </c>
      <c r="R9" s="9" t="s">
        <v>29</v>
      </c>
    </row>
    <row r="10" spans="1:18" ht="15.6" customHeight="1" x14ac:dyDescent="0.25">
      <c r="A10" s="17"/>
      <c r="B10" s="22" t="s">
        <v>19</v>
      </c>
      <c r="C10" s="10" t="s">
        <v>42</v>
      </c>
      <c r="D10" s="10"/>
      <c r="E10" s="3"/>
      <c r="F10" s="3"/>
      <c r="G10" s="9"/>
      <c r="H10" s="9"/>
      <c r="I10" s="9"/>
      <c r="J10" s="9" t="s">
        <v>29</v>
      </c>
      <c r="K10" s="10"/>
      <c r="L10" s="10"/>
      <c r="M10" s="3"/>
      <c r="N10" s="3"/>
      <c r="O10" s="1"/>
      <c r="P10" s="1"/>
      <c r="Q10" s="1"/>
      <c r="R10" s="9"/>
    </row>
    <row r="11" spans="1:18" ht="15.75" x14ac:dyDescent="0.25">
      <c r="A11" s="17"/>
      <c r="B11" s="22" t="s">
        <v>32</v>
      </c>
      <c r="C11" s="23" t="s">
        <v>35</v>
      </c>
      <c r="D11" s="10"/>
      <c r="E11" s="3"/>
      <c r="F11" s="3"/>
      <c r="G11" s="1"/>
      <c r="H11" s="1"/>
      <c r="I11" s="1"/>
      <c r="J11" s="9" t="s">
        <v>29</v>
      </c>
      <c r="K11" s="10"/>
      <c r="L11" s="10"/>
      <c r="M11" s="3"/>
      <c r="N11" s="3"/>
      <c r="O11" s="1"/>
      <c r="P11" s="1"/>
      <c r="Q11" s="1"/>
      <c r="R11" s="9"/>
    </row>
    <row r="12" spans="1:18" ht="15.75" x14ac:dyDescent="0.25">
      <c r="A12" s="17"/>
      <c r="B12" s="203"/>
      <c r="C12" s="205"/>
      <c r="D12" s="10"/>
      <c r="E12" s="5"/>
      <c r="F12" s="5"/>
      <c r="G12" s="1"/>
      <c r="H12" s="1"/>
      <c r="I12" s="1"/>
      <c r="J12" s="1"/>
      <c r="K12" s="10"/>
      <c r="L12" s="10"/>
      <c r="M12" s="5"/>
      <c r="N12" s="5"/>
      <c r="O12" s="1"/>
      <c r="P12" s="1"/>
      <c r="Q12" s="1"/>
      <c r="R12" s="16"/>
    </row>
    <row r="13" spans="1:18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10"/>
      <c r="L13" s="10"/>
      <c r="M13" s="10"/>
      <c r="N13" s="10"/>
      <c r="O13" s="9"/>
      <c r="P13" s="9"/>
      <c r="Q13" s="9"/>
      <c r="R13" s="16"/>
    </row>
    <row r="14" spans="1:18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10"/>
      <c r="L14" s="10"/>
      <c r="M14" s="10"/>
      <c r="N14" s="10"/>
      <c r="O14" s="9"/>
      <c r="P14" s="9"/>
      <c r="Q14" s="9"/>
      <c r="R14" s="16"/>
    </row>
    <row r="15" spans="1:18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1"/>
      <c r="J15" s="1"/>
      <c r="K15" s="5"/>
      <c r="L15" s="5"/>
      <c r="M15" s="5"/>
      <c r="N15" s="5"/>
      <c r="O15" s="1"/>
      <c r="P15" s="1"/>
      <c r="Q15" s="1"/>
      <c r="R15" s="16"/>
    </row>
    <row r="16" spans="1:18" ht="15.6" customHeight="1" x14ac:dyDescent="0.25">
      <c r="B16" s="199"/>
      <c r="C16" s="29">
        <v>35</v>
      </c>
      <c r="D16" s="29"/>
      <c r="E16" s="25">
        <v>35</v>
      </c>
      <c r="F16" s="25">
        <v>25</v>
      </c>
      <c r="G16" s="18">
        <v>35</v>
      </c>
      <c r="H16" s="18">
        <v>25</v>
      </c>
      <c r="I16" s="19"/>
      <c r="J16" s="19"/>
      <c r="K16" s="6"/>
      <c r="L16" s="6"/>
      <c r="M16" s="6"/>
      <c r="N16" s="6"/>
      <c r="O16" s="19"/>
      <c r="P16" s="19"/>
      <c r="Q16" s="19"/>
      <c r="R16" s="16"/>
    </row>
    <row r="17" spans="2:18" ht="15.75" x14ac:dyDescent="0.25">
      <c r="B17" s="200"/>
      <c r="C17" s="30">
        <f>147*3.75</f>
        <v>551.25</v>
      </c>
      <c r="D17" s="30"/>
      <c r="E17" s="27"/>
      <c r="F17" s="27"/>
      <c r="G17" s="32"/>
      <c r="H17" s="32"/>
      <c r="I17" s="19"/>
      <c r="J17" s="19"/>
      <c r="K17" s="6"/>
      <c r="L17" s="6"/>
      <c r="M17" s="6"/>
      <c r="N17" s="6"/>
      <c r="O17" s="19"/>
      <c r="P17" s="19"/>
      <c r="Q17" s="19"/>
      <c r="R17" s="16"/>
    </row>
    <row r="18" spans="2:18" ht="15.75" x14ac:dyDescent="0.25">
      <c r="B18" s="6" t="s">
        <v>7</v>
      </c>
      <c r="C18" s="31"/>
      <c r="D18" s="31"/>
      <c r="E18" s="28"/>
      <c r="F18" s="28"/>
      <c r="G18" s="33"/>
      <c r="H18" s="33"/>
      <c r="I18" s="19"/>
      <c r="J18" s="19"/>
      <c r="K18" s="12"/>
      <c r="L18" s="12"/>
      <c r="M18" s="12"/>
      <c r="N18" s="12"/>
      <c r="O18" s="19"/>
      <c r="P18" s="19"/>
      <c r="Q18" s="19"/>
      <c r="R18" s="16"/>
    </row>
    <row r="19" spans="2:18" ht="15.75" x14ac:dyDescent="0.25">
      <c r="B19" s="11" t="s">
        <v>30</v>
      </c>
      <c r="C19" s="31"/>
      <c r="D19" s="31"/>
      <c r="E19" s="28"/>
      <c r="F19" s="28"/>
      <c r="G19" s="33"/>
      <c r="H19" s="33"/>
      <c r="I19" s="19"/>
      <c r="J19" s="19"/>
      <c r="K19" s="12"/>
      <c r="L19" s="12"/>
      <c r="M19" s="12"/>
      <c r="N19" s="12"/>
      <c r="O19" s="19"/>
      <c r="P19" s="19"/>
      <c r="Q19" s="19"/>
      <c r="R19" s="16"/>
    </row>
    <row r="20" spans="2:18" ht="31.5" x14ac:dyDescent="0.25">
      <c r="B20" s="11" t="s">
        <v>37</v>
      </c>
      <c r="C20" s="31"/>
      <c r="D20" s="31"/>
      <c r="E20" s="28"/>
      <c r="F20" s="28"/>
      <c r="G20" s="33"/>
      <c r="H20" s="33"/>
      <c r="I20" s="19"/>
      <c r="J20" s="19"/>
      <c r="K20" s="12"/>
      <c r="L20" s="12"/>
      <c r="M20" s="12"/>
      <c r="N20" s="12"/>
      <c r="O20" s="19"/>
      <c r="P20" s="19"/>
      <c r="Q20" s="19"/>
      <c r="R20" s="16"/>
    </row>
    <row r="21" spans="2:18" ht="15.75" x14ac:dyDescent="0.25">
      <c r="B21" s="6" t="s">
        <v>8</v>
      </c>
      <c r="C21" s="31"/>
      <c r="D21" s="31"/>
      <c r="E21" s="28"/>
      <c r="F21" s="28"/>
      <c r="G21" s="33"/>
      <c r="H21" s="33"/>
      <c r="I21" s="19"/>
      <c r="J21" s="19"/>
      <c r="K21" s="12"/>
      <c r="L21" s="12"/>
      <c r="M21" s="12"/>
      <c r="N21" s="12"/>
      <c r="O21" s="19"/>
      <c r="P21" s="19"/>
      <c r="Q21" s="19"/>
      <c r="R21" s="16"/>
    </row>
    <row r="22" spans="2:18" ht="15.75" x14ac:dyDescent="0.25">
      <c r="B22" s="6" t="s">
        <v>9</v>
      </c>
      <c r="C22" s="31"/>
      <c r="D22" s="31"/>
      <c r="E22" s="28"/>
      <c r="F22" s="28"/>
      <c r="G22" s="33"/>
      <c r="H22" s="33"/>
      <c r="I22" s="19"/>
      <c r="J22" s="19"/>
      <c r="K22" s="12"/>
      <c r="L22" s="12"/>
      <c r="M22" s="12"/>
      <c r="N22" s="12"/>
      <c r="O22" s="19"/>
      <c r="P22" s="19"/>
      <c r="Q22" s="19"/>
      <c r="R22" s="16"/>
    </row>
    <row r="23" spans="2:18" ht="15.75" x14ac:dyDescent="0.25">
      <c r="B23" s="196" t="s">
        <v>10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20"/>
    </row>
    <row r="24" spans="2:18" ht="18.75" x14ac:dyDescent="0.25">
      <c r="B24" s="6" t="s">
        <v>11</v>
      </c>
      <c r="C24" s="6"/>
      <c r="D24" s="6"/>
      <c r="E24" s="6"/>
      <c r="F24" s="6"/>
      <c r="G24" s="197" t="s">
        <v>12</v>
      </c>
      <c r="H24" s="197"/>
      <c r="I24" s="197"/>
      <c r="J24" s="197"/>
      <c r="K24" s="197"/>
      <c r="L24" s="197"/>
      <c r="M24" s="197"/>
      <c r="N24" s="197"/>
      <c r="O24" s="197"/>
      <c r="P24" s="197"/>
      <c r="Q24" s="12"/>
      <c r="R24" s="20"/>
    </row>
    <row r="25" spans="2:18" ht="15.75" x14ac:dyDescent="0.25">
      <c r="B25" s="12"/>
      <c r="C25" s="12"/>
      <c r="D25" s="12"/>
      <c r="E25" s="12"/>
      <c r="F25" s="12"/>
      <c r="G25" s="186" t="s">
        <v>13</v>
      </c>
      <c r="H25" s="186"/>
      <c r="I25" s="186"/>
      <c r="J25" s="6"/>
      <c r="K25" s="6"/>
      <c r="L25" s="6"/>
      <c r="M25" s="6"/>
      <c r="N25" s="12"/>
      <c r="O25" s="186" t="s">
        <v>14</v>
      </c>
      <c r="P25" s="186"/>
      <c r="Q25" s="186"/>
      <c r="R25" s="20"/>
    </row>
    <row r="26" spans="2:18" ht="15.75" x14ac:dyDescent="0.25">
      <c r="B26" s="13"/>
      <c r="C26" s="13"/>
      <c r="D26" s="13"/>
      <c r="E26" s="13"/>
      <c r="F26" s="13" t="s">
        <v>11</v>
      </c>
      <c r="G26" s="34" t="s">
        <v>2</v>
      </c>
      <c r="H26" s="34" t="s">
        <v>3</v>
      </c>
      <c r="I26" s="34" t="s">
        <v>4</v>
      </c>
      <c r="J26" s="34"/>
      <c r="K26" s="34"/>
      <c r="L26" s="34"/>
      <c r="M26" s="34"/>
      <c r="N26" s="34" t="s">
        <v>15</v>
      </c>
      <c r="O26" s="34" t="s">
        <v>2</v>
      </c>
      <c r="P26" s="34" t="s">
        <v>3</v>
      </c>
      <c r="Q26" s="34" t="s">
        <v>4</v>
      </c>
      <c r="R26" s="20"/>
    </row>
    <row r="27" spans="2:18" ht="15.75" x14ac:dyDescent="0.25">
      <c r="B27" s="6"/>
      <c r="C27" s="198"/>
      <c r="D27" s="6"/>
      <c r="E27" s="198"/>
      <c r="F27" s="6" t="s">
        <v>27</v>
      </c>
      <c r="G27" s="18">
        <f>((G9*D9)+(O9*L9))/2</f>
        <v>2385</v>
      </c>
      <c r="H27" s="18">
        <f>((D9*H9)+(L9*P9))/3</f>
        <v>1735</v>
      </c>
      <c r="I27" s="18">
        <f>((D9*I9)+(L9*Q9))/4</f>
        <v>1400</v>
      </c>
      <c r="J27" s="18"/>
      <c r="K27" s="18"/>
      <c r="L27" s="18"/>
      <c r="M27" s="18"/>
      <c r="N27" s="18">
        <f>C17+C18+C19+C20+C21+C22</f>
        <v>551.25</v>
      </c>
      <c r="O27" s="18">
        <f>G27+N27</f>
        <v>2936.25</v>
      </c>
      <c r="P27" s="18">
        <f>H27+N27</f>
        <v>2286.25</v>
      </c>
      <c r="Q27" s="18">
        <f>I27+N27</f>
        <v>1951.25</v>
      </c>
      <c r="R27" s="20"/>
    </row>
    <row r="28" spans="2:18" ht="15.75" x14ac:dyDescent="0.25">
      <c r="B28" s="6"/>
      <c r="C28" s="200"/>
      <c r="D28" s="6"/>
      <c r="E28" s="200"/>
      <c r="F28" s="6" t="s">
        <v>26</v>
      </c>
      <c r="G28" s="18">
        <f>((D9*G9)+(L9*O9))/2</f>
        <v>2385</v>
      </c>
      <c r="H28" s="18">
        <f>((D9*H9)+(L9*P9))/3</f>
        <v>1735</v>
      </c>
      <c r="I28" s="18">
        <f>((D9*I9)+(L9*Q9))/4</f>
        <v>1400</v>
      </c>
      <c r="J28" s="18"/>
      <c r="K28" s="18"/>
      <c r="L28" s="18"/>
      <c r="M28" s="18"/>
      <c r="N28" s="18">
        <f>C17+C18+C19+C20+C21+C22</f>
        <v>551.25</v>
      </c>
      <c r="O28" s="18">
        <f>G28+N28</f>
        <v>2936.25</v>
      </c>
      <c r="P28" s="18">
        <f>H28+N28</f>
        <v>2286.25</v>
      </c>
      <c r="Q28" s="18">
        <f>I28+N28</f>
        <v>1951.25</v>
      </c>
      <c r="R28" s="20"/>
    </row>
    <row r="29" spans="2:18" ht="15.75" x14ac:dyDescent="0.25">
      <c r="B29" s="6"/>
      <c r="C29" s="198"/>
      <c r="D29" s="6"/>
      <c r="E29" s="198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20"/>
    </row>
    <row r="30" spans="2:18" ht="15.75" x14ac:dyDescent="0.25">
      <c r="B30" s="6"/>
      <c r="C30" s="200"/>
      <c r="D30" s="6"/>
      <c r="E30" s="200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0"/>
    </row>
    <row r="31" spans="2:18" ht="15.75" x14ac:dyDescent="0.25">
      <c r="B31" s="6"/>
      <c r="C31" s="198"/>
      <c r="D31" s="6"/>
      <c r="E31" s="198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0"/>
    </row>
    <row r="32" spans="2:18" ht="15.75" x14ac:dyDescent="0.25">
      <c r="B32" s="6"/>
      <c r="C32" s="200"/>
      <c r="D32" s="6"/>
      <c r="E32" s="20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20"/>
    </row>
    <row r="33" spans="2:18" ht="18.75" x14ac:dyDescent="0.25">
      <c r="B33" s="6"/>
      <c r="C33" s="6"/>
      <c r="D33" s="6"/>
      <c r="E33" s="6"/>
      <c r="F33" s="6"/>
      <c r="G33" s="228" t="s">
        <v>18</v>
      </c>
      <c r="H33" s="228"/>
      <c r="I33" s="228"/>
      <c r="J33" s="228"/>
      <c r="K33" s="228"/>
      <c r="L33" s="228"/>
      <c r="M33" s="228"/>
      <c r="N33" s="228"/>
      <c r="O33" s="228"/>
      <c r="P33" s="228"/>
      <c r="Q33" s="6"/>
      <c r="R33" s="20"/>
    </row>
    <row r="34" spans="2:18" ht="15.75" x14ac:dyDescent="0.25">
      <c r="B34" s="6"/>
      <c r="C34" s="6"/>
      <c r="D34" s="6"/>
      <c r="E34" s="6"/>
      <c r="F34" s="6"/>
      <c r="G34" s="186" t="s">
        <v>18</v>
      </c>
      <c r="H34" s="186"/>
      <c r="I34" s="186"/>
      <c r="J34" s="6"/>
      <c r="K34" s="6"/>
      <c r="L34" s="6"/>
      <c r="M34" s="6"/>
      <c r="N34" s="12"/>
      <c r="O34" s="186" t="s">
        <v>14</v>
      </c>
      <c r="P34" s="186"/>
      <c r="Q34" s="186"/>
      <c r="R34" s="20"/>
    </row>
    <row r="35" spans="2:18" ht="15.75" x14ac:dyDescent="0.25">
      <c r="B35" s="6"/>
      <c r="C35" s="13"/>
      <c r="D35" s="13"/>
      <c r="E35" s="13"/>
      <c r="F35" s="13" t="s">
        <v>11</v>
      </c>
      <c r="G35" s="26" t="s">
        <v>2</v>
      </c>
      <c r="H35" s="26" t="s">
        <v>3</v>
      </c>
      <c r="I35" s="26" t="s">
        <v>4</v>
      </c>
      <c r="J35" s="26"/>
      <c r="K35" s="26"/>
      <c r="L35" s="26"/>
      <c r="M35" s="26"/>
      <c r="N35" s="26" t="s">
        <v>15</v>
      </c>
      <c r="O35" s="26" t="s">
        <v>2</v>
      </c>
      <c r="P35" s="26" t="s">
        <v>3</v>
      </c>
      <c r="Q35" s="26" t="s">
        <v>4</v>
      </c>
      <c r="R35" s="20"/>
    </row>
    <row r="36" spans="2:18" ht="15.75" x14ac:dyDescent="0.25">
      <c r="B36" s="6"/>
      <c r="C36" s="198"/>
      <c r="D36" s="6"/>
      <c r="E36" s="198"/>
      <c r="F36" s="11" t="s">
        <v>27</v>
      </c>
      <c r="G36" s="24">
        <f>((D10*G10)+(L10*O10))/2</f>
        <v>0</v>
      </c>
      <c r="H36" s="24">
        <f>((D10*H10)+(L10*P10))/3</f>
        <v>0</v>
      </c>
      <c r="I36" s="24">
        <f>((D10*I10)+(L10*Q10))/4</f>
        <v>0</v>
      </c>
      <c r="J36" s="24"/>
      <c r="K36" s="24"/>
      <c r="L36" s="24"/>
      <c r="M36" s="24"/>
      <c r="N36" s="24">
        <f>F17+E18+E19+E20+E21+E22</f>
        <v>0</v>
      </c>
      <c r="O36" s="24">
        <f>G36+N36</f>
        <v>0</v>
      </c>
      <c r="P36" s="24">
        <f>H36+N36</f>
        <v>0</v>
      </c>
      <c r="Q36" s="18">
        <f>I36+N36</f>
        <v>0</v>
      </c>
    </row>
    <row r="37" spans="2:18" ht="15.75" x14ac:dyDescent="0.25">
      <c r="B37" s="6"/>
      <c r="C37" s="200"/>
      <c r="D37" s="6"/>
      <c r="E37" s="200"/>
      <c r="F37" s="11" t="s">
        <v>26</v>
      </c>
      <c r="G37" s="24">
        <f>((D10*G10)+(L10*O10))/2</f>
        <v>0</v>
      </c>
      <c r="H37" s="24">
        <f>((D10*H10)+(L10*P10))/3</f>
        <v>0</v>
      </c>
      <c r="I37" s="24">
        <f>((D10*I10)+(L10*Q10))/4</f>
        <v>0</v>
      </c>
      <c r="J37" s="24"/>
      <c r="K37" s="24"/>
      <c r="L37" s="24"/>
      <c r="M37" s="24"/>
      <c r="N37" s="24">
        <f>C17+C18+C19+C21+C22</f>
        <v>551.25</v>
      </c>
      <c r="O37" s="24">
        <f>G37+N37</f>
        <v>551.25</v>
      </c>
      <c r="P37" s="24">
        <f>H37+N37</f>
        <v>551.25</v>
      </c>
      <c r="Q37" s="18">
        <f>I37+N37</f>
        <v>551.25</v>
      </c>
    </row>
    <row r="38" spans="2:18" ht="15.75" x14ac:dyDescent="0.25">
      <c r="B38" s="11"/>
      <c r="C38" s="7"/>
      <c r="D38" s="11"/>
      <c r="E38" s="7"/>
      <c r="F38" s="1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11"/>
    </row>
    <row r="39" spans="2:18" ht="15.75" x14ac:dyDescent="0.25">
      <c r="B39" s="11"/>
      <c r="C39" s="7"/>
      <c r="D39" s="11"/>
      <c r="E39" s="7"/>
      <c r="F39" s="1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11"/>
    </row>
    <row r="40" spans="2:18" ht="15.75" x14ac:dyDescent="0.25">
      <c r="B40" s="11"/>
      <c r="C40" s="7"/>
      <c r="D40" s="11"/>
      <c r="E40" s="7"/>
      <c r="F40" s="1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11"/>
    </row>
    <row r="41" spans="2:18" ht="15.75" x14ac:dyDescent="0.25">
      <c r="B41" s="6"/>
      <c r="C41" s="198"/>
      <c r="D41" s="6"/>
      <c r="E41" s="198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8" ht="18.75" x14ac:dyDescent="0.25">
      <c r="B42" s="6"/>
      <c r="C42" s="200"/>
      <c r="D42" s="6"/>
      <c r="E42" s="200"/>
      <c r="F42" s="6"/>
      <c r="G42" s="195" t="s">
        <v>32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1"/>
    </row>
    <row r="43" spans="2:18" ht="15.75" x14ac:dyDescent="0.25">
      <c r="B43" s="6"/>
      <c r="C43" s="198"/>
      <c r="D43" s="6"/>
      <c r="E43" s="198"/>
      <c r="F43" s="6"/>
      <c r="G43" s="186" t="s">
        <v>18</v>
      </c>
      <c r="H43" s="186"/>
      <c r="I43" s="186"/>
      <c r="J43" s="11"/>
      <c r="K43" s="11"/>
      <c r="L43" s="11"/>
      <c r="M43" s="11"/>
      <c r="N43" s="12"/>
      <c r="O43" s="186" t="s">
        <v>14</v>
      </c>
      <c r="P43" s="186"/>
      <c r="Q43" s="186"/>
    </row>
    <row r="44" spans="2:18" ht="15.75" x14ac:dyDescent="0.25">
      <c r="B44" s="6"/>
      <c r="C44" s="200"/>
      <c r="D44" s="6"/>
      <c r="E44" s="200"/>
      <c r="F44" s="13" t="s">
        <v>11</v>
      </c>
      <c r="G44" s="26" t="s">
        <v>2</v>
      </c>
      <c r="H44" s="26" t="s">
        <v>3</v>
      </c>
      <c r="I44" s="26" t="s">
        <v>4</v>
      </c>
      <c r="J44" s="26"/>
      <c r="K44" s="26"/>
      <c r="L44" s="26"/>
      <c r="M44" s="26"/>
      <c r="N44" s="26" t="s">
        <v>15</v>
      </c>
      <c r="O44" s="26" t="s">
        <v>2</v>
      </c>
      <c r="P44" s="26" t="s">
        <v>3</v>
      </c>
      <c r="Q44" s="26" t="s">
        <v>4</v>
      </c>
    </row>
    <row r="45" spans="2:18" ht="15.75" x14ac:dyDescent="0.25">
      <c r="B45" s="11"/>
      <c r="C45" s="8"/>
      <c r="D45" s="11"/>
      <c r="E45" s="8"/>
      <c r="F45" s="11" t="s">
        <v>27</v>
      </c>
      <c r="G45" s="24">
        <f>((D11*G11)+(L11*O11))/2</f>
        <v>0</v>
      </c>
      <c r="H45" s="24">
        <f>((D11*H11)+(L11*P11))/3</f>
        <v>0</v>
      </c>
      <c r="I45" s="24">
        <f>((D11*I11)+(L11*Q11))/4</f>
        <v>0</v>
      </c>
      <c r="J45" s="24"/>
      <c r="K45" s="24"/>
      <c r="L45" s="24"/>
      <c r="M45" s="24"/>
      <c r="N45" s="24">
        <f>H17+G18+G19+G20+G21+G22</f>
        <v>0</v>
      </c>
      <c r="O45" s="24">
        <f>G45+N45</f>
        <v>0</v>
      </c>
      <c r="P45" s="24">
        <f>H45+N45</f>
        <v>0</v>
      </c>
      <c r="Q45" s="24">
        <f>I45+N45</f>
        <v>0</v>
      </c>
    </row>
    <row r="46" spans="2:18" ht="15.75" x14ac:dyDescent="0.25">
      <c r="B46" s="11"/>
      <c r="C46" s="8"/>
      <c r="D46" s="11"/>
      <c r="E46" s="8"/>
      <c r="F46" s="11" t="s">
        <v>26</v>
      </c>
      <c r="G46" s="24">
        <f>((D11*G11)+(L11*O11))/2</f>
        <v>0</v>
      </c>
      <c r="H46" s="24">
        <f>((D11*H11)+(L11*P11))/3</f>
        <v>0</v>
      </c>
      <c r="I46" s="24">
        <f>((D11*I11)+(L11*Q11))/4</f>
        <v>0</v>
      </c>
      <c r="J46" s="24"/>
      <c r="K46" s="24"/>
      <c r="L46" s="24"/>
      <c r="M46" s="24"/>
      <c r="N46" s="24">
        <f>G17+G18+G19+G20+G21+G22</f>
        <v>0</v>
      </c>
      <c r="O46" s="24">
        <f>G46+N46</f>
        <v>0</v>
      </c>
      <c r="P46" s="24">
        <f>H46+N46</f>
        <v>0</v>
      </c>
      <c r="Q46" s="24">
        <f>I46+N46</f>
        <v>0</v>
      </c>
    </row>
    <row r="47" spans="2:18" ht="15.75" x14ac:dyDescent="0.25">
      <c r="B47" s="11"/>
      <c r="C47" s="8"/>
      <c r="D47" s="11"/>
      <c r="E47" s="8"/>
      <c r="F47" s="11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2:18" ht="15.75" x14ac:dyDescent="0.25">
      <c r="B48" s="11"/>
      <c r="C48" s="8"/>
      <c r="D48" s="11"/>
      <c r="E48" s="8"/>
      <c r="F48" s="11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2:17" ht="15.75" x14ac:dyDescent="0.25">
      <c r="B49" s="11"/>
      <c r="C49" s="8"/>
      <c r="D49" s="11"/>
      <c r="E49" s="8"/>
      <c r="F49" s="11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2:17" ht="15.75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219" t="s">
        <v>36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1"/>
    </row>
    <row r="52" spans="2:17" x14ac:dyDescent="0.25">
      <c r="B52" s="222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4"/>
    </row>
    <row r="53" spans="2:17" x14ac:dyDescent="0.25">
      <c r="B53" s="222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4"/>
    </row>
    <row r="54" spans="2:17" x14ac:dyDescent="0.25">
      <c r="B54" s="222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4"/>
    </row>
    <row r="55" spans="2:17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4"/>
    </row>
    <row r="56" spans="2:17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4"/>
    </row>
    <row r="57" spans="2:17" ht="55.15" customHeight="1" x14ac:dyDescent="0.25">
      <c r="B57" s="225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7"/>
    </row>
  </sheetData>
  <mergeCells count="51">
    <mergeCell ref="B51:Q57"/>
    <mergeCell ref="C27:C28"/>
    <mergeCell ref="C29:C30"/>
    <mergeCell ref="C31:C32"/>
    <mergeCell ref="G33:P33"/>
    <mergeCell ref="G34:I34"/>
    <mergeCell ref="O34:Q34"/>
    <mergeCell ref="C36:C37"/>
    <mergeCell ref="C41:C42"/>
    <mergeCell ref="C43:C44"/>
    <mergeCell ref="E41:E42"/>
    <mergeCell ref="E43:E44"/>
    <mergeCell ref="E31:E32"/>
    <mergeCell ref="E36:E37"/>
    <mergeCell ref="E27:E28"/>
    <mergeCell ref="E29:E30"/>
    <mergeCell ref="B12:B13"/>
    <mergeCell ref="C12:C13"/>
    <mergeCell ref="B6:B8"/>
    <mergeCell ref="B4:R4"/>
    <mergeCell ref="B5:R5"/>
    <mergeCell ref="K6:R6"/>
    <mergeCell ref="R7:R8"/>
    <mergeCell ref="K7:K8"/>
    <mergeCell ref="L7:L8"/>
    <mergeCell ref="M7:N7"/>
    <mergeCell ref="C6:J6"/>
    <mergeCell ref="E7:F7"/>
    <mergeCell ref="D7:D8"/>
    <mergeCell ref="Q7:Q8"/>
    <mergeCell ref="P7:P8"/>
    <mergeCell ref="O7:O8"/>
    <mergeCell ref="G7:G8"/>
    <mergeCell ref="C7:C8"/>
    <mergeCell ref="J7:J8"/>
    <mergeCell ref="I7:I8"/>
    <mergeCell ref="H7:H8"/>
    <mergeCell ref="G43:I43"/>
    <mergeCell ref="O43:Q43"/>
    <mergeCell ref="C14:D14"/>
    <mergeCell ref="E14:F14"/>
    <mergeCell ref="E15:F15"/>
    <mergeCell ref="G14:H14"/>
    <mergeCell ref="G15:H15"/>
    <mergeCell ref="G42:P42"/>
    <mergeCell ref="G25:I25"/>
    <mergeCell ref="O25:Q25"/>
    <mergeCell ref="B23:Q23"/>
    <mergeCell ref="G24:P24"/>
    <mergeCell ref="B15:B17"/>
    <mergeCell ref="C15:D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T57"/>
  <sheetViews>
    <sheetView zoomScale="88" zoomScaleNormal="88" workbookViewId="0">
      <selection activeCell="E17" sqref="E17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7" width="8.85546875" style="14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39" t="s">
        <v>21</v>
      </c>
      <c r="F8" s="39" t="s">
        <v>22</v>
      </c>
      <c r="G8" s="201"/>
      <c r="H8" s="201"/>
      <c r="I8" s="201"/>
      <c r="J8" s="230"/>
      <c r="K8" s="202"/>
      <c r="L8" s="218"/>
      <c r="M8" s="218"/>
      <c r="N8" s="42" t="s">
        <v>21</v>
      </c>
      <c r="O8" s="42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40" t="s">
        <v>5</v>
      </c>
      <c r="C9" s="41" t="s">
        <v>38</v>
      </c>
      <c r="D9" s="10">
        <v>5</v>
      </c>
      <c r="E9" s="3" t="s">
        <v>39</v>
      </c>
      <c r="F9" s="3" t="s">
        <v>40</v>
      </c>
      <c r="G9" s="9">
        <v>295</v>
      </c>
      <c r="H9" s="9">
        <v>340</v>
      </c>
      <c r="I9" s="9">
        <v>385</v>
      </c>
      <c r="J9" s="9">
        <v>430</v>
      </c>
      <c r="K9" s="9" t="s">
        <v>29</v>
      </c>
      <c r="L9" s="10" t="s">
        <v>42</v>
      </c>
      <c r="M9" s="10">
        <v>4</v>
      </c>
      <c r="N9" s="3"/>
      <c r="O9" s="3"/>
      <c r="P9" s="9"/>
      <c r="Q9" s="9"/>
      <c r="R9" s="9"/>
      <c r="S9" s="9"/>
      <c r="T9" s="9" t="s">
        <v>29</v>
      </c>
    </row>
    <row r="10" spans="1:20" ht="15.6" customHeight="1" x14ac:dyDescent="0.25">
      <c r="A10" s="17"/>
      <c r="B10" s="40" t="s">
        <v>19</v>
      </c>
      <c r="C10" s="41" t="s">
        <v>31</v>
      </c>
      <c r="D10" s="10"/>
      <c r="E10" s="3"/>
      <c r="F10" s="3"/>
      <c r="G10" s="9"/>
      <c r="H10" s="9"/>
      <c r="I10" s="9"/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40" t="s">
        <v>32</v>
      </c>
      <c r="C11" s="41" t="s">
        <v>35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/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>
        <v>1</v>
      </c>
      <c r="F16" s="25"/>
      <c r="G16" s="18"/>
      <c r="H16" s="18"/>
      <c r="I16" s="19"/>
      <c r="J16" s="19"/>
      <c r="K16" s="19"/>
      <c r="L16" s="36"/>
      <c r="M16" s="36"/>
      <c r="N16" s="36"/>
      <c r="O16" s="36"/>
      <c r="P16" s="19"/>
      <c r="Q16" s="19"/>
      <c r="R16" s="19"/>
      <c r="S16" s="19"/>
      <c r="T16" s="16"/>
    </row>
    <row r="17" spans="2:20" ht="15.75" x14ac:dyDescent="0.25">
      <c r="B17" s="200"/>
      <c r="C17" s="30"/>
      <c r="D17" s="30"/>
      <c r="E17" s="27">
        <v>220</v>
      </c>
      <c r="F17" s="27"/>
      <c r="G17" s="32"/>
      <c r="H17" s="32"/>
      <c r="I17" s="19"/>
      <c r="J17" s="19"/>
      <c r="K17" s="19"/>
      <c r="L17" s="36"/>
      <c r="M17" s="36"/>
      <c r="N17" s="36"/>
      <c r="O17" s="36"/>
      <c r="P17" s="19"/>
      <c r="Q17" s="19"/>
      <c r="R17" s="19"/>
      <c r="S17" s="19"/>
      <c r="T17" s="16"/>
    </row>
    <row r="18" spans="2:20" ht="15.75" x14ac:dyDescent="0.25">
      <c r="B18" s="36" t="s">
        <v>7</v>
      </c>
      <c r="C18" s="31"/>
      <c r="D18" s="31"/>
      <c r="E18" s="28"/>
      <c r="F18" s="28"/>
      <c r="G18" s="33"/>
      <c r="H18" s="33"/>
      <c r="I18" s="19"/>
      <c r="J18" s="19"/>
      <c r="K18" s="19"/>
      <c r="L18" s="12"/>
      <c r="M18" s="12"/>
      <c r="N18" s="12"/>
      <c r="O18" s="12"/>
      <c r="P18" s="19"/>
      <c r="Q18" s="19"/>
      <c r="R18" s="19"/>
      <c r="S18" s="19"/>
      <c r="T18" s="16"/>
    </row>
    <row r="19" spans="2:20" ht="15.75" x14ac:dyDescent="0.25">
      <c r="B19" s="36" t="s">
        <v>30</v>
      </c>
      <c r="C19" s="31">
        <f>220*3.75</f>
        <v>825</v>
      </c>
      <c r="D19" s="31"/>
      <c r="E19" s="28"/>
      <c r="F19" s="28"/>
      <c r="G19" s="33"/>
      <c r="H19" s="33"/>
      <c r="I19" s="19"/>
      <c r="J19" s="19"/>
      <c r="K19" s="19"/>
      <c r="L19" s="12"/>
      <c r="M19" s="12"/>
      <c r="N19" s="12"/>
      <c r="O19" s="12"/>
      <c r="P19" s="19"/>
      <c r="Q19" s="19"/>
      <c r="R19" s="19"/>
      <c r="S19" s="19"/>
      <c r="T19" s="16"/>
    </row>
    <row r="20" spans="2:20" ht="31.5" x14ac:dyDescent="0.25">
      <c r="B20" s="36" t="s">
        <v>37</v>
      </c>
      <c r="C20" s="31"/>
      <c r="D20" s="31"/>
      <c r="E20" s="28"/>
      <c r="F20" s="28"/>
      <c r="G20" s="33"/>
      <c r="H20" s="33"/>
      <c r="I20" s="19"/>
      <c r="J20" s="19"/>
      <c r="K20" s="19"/>
      <c r="L20" s="12"/>
      <c r="M20" s="12"/>
      <c r="N20" s="12"/>
      <c r="O20" s="12"/>
      <c r="P20" s="19"/>
      <c r="Q20" s="19"/>
      <c r="R20" s="19"/>
      <c r="S20" s="19"/>
      <c r="T20" s="16"/>
    </row>
    <row r="21" spans="2:20" ht="15.75" x14ac:dyDescent="0.25">
      <c r="B21" s="36" t="s">
        <v>8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36" t="s">
        <v>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15.75" x14ac:dyDescent="0.25">
      <c r="B23" s="196" t="s">
        <v>10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44"/>
      <c r="T23" s="20"/>
    </row>
    <row r="24" spans="2:20" ht="18.75" x14ac:dyDescent="0.25">
      <c r="B24" s="36" t="s">
        <v>11</v>
      </c>
      <c r="C24" s="36"/>
      <c r="D24" s="36"/>
      <c r="E24" s="36"/>
      <c r="F24" s="36"/>
      <c r="G24" s="197" t="s">
        <v>12</v>
      </c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2"/>
      <c r="S24" s="45"/>
      <c r="T24" s="20"/>
    </row>
    <row r="25" spans="2:20" ht="15.75" x14ac:dyDescent="0.25">
      <c r="B25" s="12"/>
      <c r="C25" s="12"/>
      <c r="D25" s="12"/>
      <c r="E25" s="12"/>
      <c r="F25" s="12"/>
      <c r="G25" s="186" t="s">
        <v>13</v>
      </c>
      <c r="H25" s="186"/>
      <c r="I25" s="186"/>
      <c r="J25" s="43"/>
      <c r="K25" s="36"/>
      <c r="L25" s="36"/>
      <c r="M25" s="36"/>
      <c r="N25" s="36"/>
      <c r="O25" s="12"/>
      <c r="P25" s="186" t="s">
        <v>14</v>
      </c>
      <c r="Q25" s="186"/>
      <c r="R25" s="186"/>
      <c r="S25" s="46"/>
      <c r="T25" s="20"/>
    </row>
    <row r="26" spans="2:20" ht="31.5" x14ac:dyDescent="0.25">
      <c r="B26" s="13"/>
      <c r="C26" s="13"/>
      <c r="D26" s="13"/>
      <c r="E26" s="13"/>
      <c r="F26" s="13" t="s">
        <v>11</v>
      </c>
      <c r="G26" s="34" t="s">
        <v>2</v>
      </c>
      <c r="H26" s="34" t="s">
        <v>3</v>
      </c>
      <c r="I26" s="34" t="s">
        <v>4</v>
      </c>
      <c r="J26" s="34" t="s">
        <v>44</v>
      </c>
      <c r="K26" s="34"/>
      <c r="L26" s="34"/>
      <c r="M26" s="34"/>
      <c r="N26" s="34"/>
      <c r="O26" s="34" t="s">
        <v>15</v>
      </c>
      <c r="P26" s="34" t="s">
        <v>2</v>
      </c>
      <c r="Q26" s="34" t="s">
        <v>3</v>
      </c>
      <c r="R26" s="34" t="s">
        <v>4</v>
      </c>
      <c r="S26" s="34" t="s">
        <v>44</v>
      </c>
      <c r="T26" s="34"/>
    </row>
    <row r="27" spans="2:20" ht="15.75" x14ac:dyDescent="0.25">
      <c r="B27" s="36"/>
      <c r="C27" s="198"/>
      <c r="D27" s="36"/>
      <c r="E27" s="198"/>
      <c r="F27" s="36" t="s">
        <v>27</v>
      </c>
      <c r="G27" s="18">
        <f>((G9*D9)+(P9*M9))/2</f>
        <v>737.5</v>
      </c>
      <c r="H27" s="18">
        <f>((D9*H9)+(M9*Q9))/3</f>
        <v>566.66666666666663</v>
      </c>
      <c r="I27" s="18">
        <f>((D9*I9)+(M9*R9))/4</f>
        <v>481.25</v>
      </c>
      <c r="J27" s="18">
        <f>((D9*J9)+(M9*R9))/5</f>
        <v>430</v>
      </c>
      <c r="K27" s="18"/>
      <c r="L27" s="18"/>
      <c r="M27" s="18"/>
      <c r="N27" s="18"/>
      <c r="O27" s="18">
        <f>C17+C18+C19+C20+C21+C22</f>
        <v>825</v>
      </c>
      <c r="P27" s="18">
        <f>G27+O27</f>
        <v>1562.5</v>
      </c>
      <c r="Q27" s="18">
        <f>H27+O27</f>
        <v>1391.6666666666665</v>
      </c>
      <c r="R27" s="18">
        <f>I27+O27</f>
        <v>1306.25</v>
      </c>
      <c r="S27" s="18">
        <f>J27+O27</f>
        <v>1255</v>
      </c>
      <c r="T27" s="18"/>
    </row>
    <row r="28" spans="2:20" ht="15.75" x14ac:dyDescent="0.25">
      <c r="B28" s="36"/>
      <c r="C28" s="200"/>
      <c r="D28" s="36"/>
      <c r="E28" s="200"/>
      <c r="F28" s="36" t="s">
        <v>26</v>
      </c>
      <c r="G28" s="18">
        <f>((D9*G9)+(M9*P9))/2</f>
        <v>737.5</v>
      </c>
      <c r="H28" s="18">
        <f>((D9*H9)+(M9*Q9))/3</f>
        <v>566.66666666666663</v>
      </c>
      <c r="I28" s="18">
        <f>((D9*I9)+(M9*R9))/4</f>
        <v>481.25</v>
      </c>
      <c r="J28" s="18">
        <f>((D9*J9)+(M9*S9))/5</f>
        <v>430</v>
      </c>
      <c r="K28" s="18"/>
      <c r="L28" s="18"/>
      <c r="M28" s="18"/>
      <c r="N28" s="18"/>
      <c r="O28" s="18">
        <f>C17+C18+C19+C20+C21+C22</f>
        <v>825</v>
      </c>
      <c r="P28" s="18">
        <f>G28+O28</f>
        <v>1562.5</v>
      </c>
      <c r="Q28" s="18">
        <f>H28+O28</f>
        <v>1391.6666666666665</v>
      </c>
      <c r="R28" s="18">
        <f>I28+O28</f>
        <v>1306.25</v>
      </c>
      <c r="S28" s="18">
        <f>J28+O28</f>
        <v>1255</v>
      </c>
      <c r="T28" s="18"/>
    </row>
    <row r="29" spans="2:20" ht="15.75" x14ac:dyDescent="0.25">
      <c r="B29" s="36"/>
      <c r="C29" s="198"/>
      <c r="D29" s="36"/>
      <c r="E29" s="198"/>
      <c r="F29" s="36"/>
      <c r="G29" s="36"/>
      <c r="H29" s="36"/>
      <c r="I29" s="36"/>
      <c r="J29" s="43"/>
      <c r="K29" s="36"/>
      <c r="L29" s="36"/>
      <c r="M29" s="36"/>
      <c r="N29" s="36"/>
      <c r="O29" s="36"/>
      <c r="P29" s="36"/>
      <c r="Q29" s="36"/>
      <c r="R29" s="36"/>
      <c r="S29" s="46"/>
      <c r="T29" s="20"/>
    </row>
    <row r="30" spans="2:20" ht="15.75" x14ac:dyDescent="0.25">
      <c r="B30" s="36"/>
      <c r="C30" s="200"/>
      <c r="D30" s="36"/>
      <c r="E30" s="200"/>
      <c r="F30" s="36"/>
      <c r="G30" s="36"/>
      <c r="H30" s="36"/>
      <c r="I30" s="36"/>
      <c r="J30" s="43"/>
      <c r="K30" s="36"/>
      <c r="L30" s="36"/>
      <c r="M30" s="36"/>
      <c r="N30" s="36"/>
      <c r="O30" s="36"/>
      <c r="P30" s="36"/>
      <c r="Q30" s="36"/>
      <c r="R30" s="36"/>
      <c r="S30" s="46"/>
      <c r="T30" s="20"/>
    </row>
    <row r="31" spans="2:20" ht="15.75" x14ac:dyDescent="0.25">
      <c r="B31" s="36"/>
      <c r="C31" s="198"/>
      <c r="D31" s="36"/>
      <c r="E31" s="198"/>
      <c r="F31" s="36"/>
      <c r="G31" s="36"/>
      <c r="H31" s="36"/>
      <c r="I31" s="36"/>
      <c r="J31" s="43"/>
      <c r="K31" s="36"/>
      <c r="L31" s="36"/>
      <c r="M31" s="36"/>
      <c r="N31" s="36"/>
      <c r="O31" s="36"/>
      <c r="P31" s="36"/>
      <c r="Q31" s="36"/>
      <c r="R31" s="36"/>
      <c r="S31" s="46"/>
      <c r="T31" s="20"/>
    </row>
    <row r="32" spans="2:20" ht="15.75" x14ac:dyDescent="0.25">
      <c r="B32" s="36"/>
      <c r="C32" s="200"/>
      <c r="D32" s="36"/>
      <c r="E32" s="200"/>
      <c r="F32" s="36"/>
      <c r="G32" s="36"/>
      <c r="H32" s="36"/>
      <c r="I32" s="36"/>
      <c r="J32" s="43"/>
      <c r="K32" s="36"/>
      <c r="L32" s="36"/>
      <c r="M32" s="36"/>
      <c r="N32" s="36"/>
      <c r="O32" s="36"/>
      <c r="P32" s="36"/>
      <c r="Q32" s="36"/>
      <c r="R32" s="36"/>
      <c r="S32" s="46"/>
      <c r="T32" s="20"/>
    </row>
    <row r="33" spans="2:20" ht="18.75" x14ac:dyDescent="0.25">
      <c r="B33" s="36"/>
      <c r="C33" s="36"/>
      <c r="D33" s="36"/>
      <c r="E33" s="36"/>
      <c r="F33" s="36"/>
      <c r="G33" s="228" t="s">
        <v>18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36"/>
      <c r="S33" s="46"/>
      <c r="T33" s="20"/>
    </row>
    <row r="34" spans="2:20" ht="15.75" x14ac:dyDescent="0.25">
      <c r="B34" s="36"/>
      <c r="C34" s="36"/>
      <c r="D34" s="36"/>
      <c r="E34" s="36"/>
      <c r="F34" s="36"/>
      <c r="G34" s="186" t="s">
        <v>18</v>
      </c>
      <c r="H34" s="186"/>
      <c r="I34" s="186"/>
      <c r="J34" s="43"/>
      <c r="K34" s="36"/>
      <c r="L34" s="36"/>
      <c r="M34" s="36"/>
      <c r="N34" s="36"/>
      <c r="O34" s="12"/>
      <c r="P34" s="186" t="s">
        <v>14</v>
      </c>
      <c r="Q34" s="186"/>
      <c r="R34" s="186"/>
      <c r="S34" s="46"/>
      <c r="T34" s="20"/>
    </row>
    <row r="35" spans="2:20" ht="31.5" x14ac:dyDescent="0.25">
      <c r="B35" s="36"/>
      <c r="C35" s="13"/>
      <c r="D35" s="13"/>
      <c r="E35" s="13"/>
      <c r="F35" s="13" t="s">
        <v>11</v>
      </c>
      <c r="G35" s="26" t="s">
        <v>2</v>
      </c>
      <c r="H35" s="26" t="s">
        <v>3</v>
      </c>
      <c r="I35" s="34" t="s">
        <v>4</v>
      </c>
      <c r="J35" s="34" t="s">
        <v>44</v>
      </c>
      <c r="K35" s="26"/>
      <c r="L35" s="26"/>
      <c r="M35" s="26"/>
      <c r="N35" s="26"/>
      <c r="O35" s="26" t="s">
        <v>15</v>
      </c>
      <c r="P35" s="26" t="s">
        <v>2</v>
      </c>
      <c r="Q35" s="26" t="s">
        <v>3</v>
      </c>
      <c r="R35" s="26" t="s">
        <v>4</v>
      </c>
      <c r="S35" s="34" t="s">
        <v>44</v>
      </c>
      <c r="T35" s="20"/>
    </row>
    <row r="36" spans="2:20" ht="15.75" x14ac:dyDescent="0.25">
      <c r="B36" s="36"/>
      <c r="C36" s="198"/>
      <c r="D36" s="36"/>
      <c r="E36" s="198"/>
      <c r="F36" s="36" t="s">
        <v>27</v>
      </c>
      <c r="G36" s="18">
        <f>((D9*G9)+(M9*P9))/2</f>
        <v>737.5</v>
      </c>
      <c r="H36" s="18">
        <f>((D9*H9)+(N9*Q9))/3</f>
        <v>566.66666666666663</v>
      </c>
      <c r="I36" s="18">
        <f>((D9*I9)+(O9*R9))/4</f>
        <v>481.25</v>
      </c>
      <c r="J36" s="18">
        <f>((D9*J9)+(P9*S9))/5</f>
        <v>430</v>
      </c>
      <c r="K36" s="24"/>
      <c r="L36" s="24"/>
      <c r="M36" s="24"/>
      <c r="N36" s="24"/>
      <c r="O36" s="18">
        <f>E17+E18+E19+E20+E21+E22</f>
        <v>220</v>
      </c>
      <c r="P36" s="18">
        <f>G36+O36</f>
        <v>957.5</v>
      </c>
      <c r="Q36" s="18">
        <f>H36+O36</f>
        <v>786.66666666666663</v>
      </c>
      <c r="R36" s="18">
        <f>I36+O36</f>
        <v>701.25</v>
      </c>
      <c r="S36" s="18">
        <f>J36+O36</f>
        <v>650</v>
      </c>
    </row>
    <row r="37" spans="2:20" ht="15.75" x14ac:dyDescent="0.25">
      <c r="B37" s="36"/>
      <c r="C37" s="200"/>
      <c r="D37" s="36"/>
      <c r="E37" s="200"/>
      <c r="F37" s="36" t="s">
        <v>26</v>
      </c>
      <c r="G37" s="18">
        <f>((D18*G18)+(M18*P18))/2</f>
        <v>0</v>
      </c>
      <c r="H37" s="18">
        <f>((D18*H18)+(M18*Q18))/3</f>
        <v>0</v>
      </c>
      <c r="I37" s="18">
        <f>((D18*I18)+(M18*R18))/4</f>
        <v>0</v>
      </c>
      <c r="J37" s="18">
        <f>((D18*J18)+(M18*S18))/5</f>
        <v>0</v>
      </c>
      <c r="K37" s="24"/>
      <c r="L37" s="24"/>
      <c r="M37" s="24"/>
      <c r="N37" s="24"/>
      <c r="O37" s="18">
        <f>C26+C27+C28+C29+C30+C31</f>
        <v>0</v>
      </c>
      <c r="P37" s="18">
        <f>G37+O37</f>
        <v>0</v>
      </c>
      <c r="Q37" s="18">
        <f>H37+O37</f>
        <v>0</v>
      </c>
      <c r="R37" s="18">
        <f>I37+O37</f>
        <v>0</v>
      </c>
      <c r="S37" s="18">
        <f>J37+O37</f>
        <v>0</v>
      </c>
    </row>
    <row r="38" spans="2:20" ht="15.75" x14ac:dyDescent="0.25">
      <c r="B38" s="36"/>
      <c r="C38" s="37"/>
      <c r="D38" s="36"/>
      <c r="E38" s="37"/>
      <c r="F38" s="36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36"/>
      <c r="S38" s="46"/>
    </row>
    <row r="39" spans="2:20" ht="15.75" x14ac:dyDescent="0.25">
      <c r="B39" s="36"/>
      <c r="C39" s="37"/>
      <c r="D39" s="36"/>
      <c r="E39" s="37"/>
      <c r="F39" s="36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36"/>
      <c r="S39" s="46"/>
    </row>
    <row r="40" spans="2:20" ht="15.75" x14ac:dyDescent="0.25">
      <c r="B40" s="36"/>
      <c r="C40" s="37"/>
      <c r="D40" s="36"/>
      <c r="E40" s="37"/>
      <c r="F40" s="36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36"/>
      <c r="S40" s="46"/>
    </row>
    <row r="41" spans="2:20" ht="15.75" x14ac:dyDescent="0.25">
      <c r="B41" s="36"/>
      <c r="C41" s="198"/>
      <c r="D41" s="36"/>
      <c r="E41" s="198"/>
      <c r="F41" s="36"/>
      <c r="G41" s="36"/>
      <c r="H41" s="36"/>
      <c r="I41" s="36"/>
      <c r="J41" s="43"/>
      <c r="K41" s="36"/>
      <c r="L41" s="36"/>
      <c r="M41" s="36"/>
      <c r="N41" s="36"/>
      <c r="O41" s="36"/>
      <c r="P41" s="36"/>
      <c r="Q41" s="36"/>
      <c r="R41" s="36"/>
      <c r="S41" s="46"/>
    </row>
    <row r="42" spans="2:20" ht="18.75" x14ac:dyDescent="0.25">
      <c r="B42" s="36"/>
      <c r="C42" s="200"/>
      <c r="D42" s="36"/>
      <c r="E42" s="200"/>
      <c r="F42" s="36"/>
      <c r="G42" s="195" t="s">
        <v>32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36"/>
      <c r="S42" s="46"/>
    </row>
    <row r="43" spans="2:20" ht="15.75" x14ac:dyDescent="0.25">
      <c r="B43" s="36"/>
      <c r="C43" s="198"/>
      <c r="D43" s="36"/>
      <c r="E43" s="198"/>
      <c r="F43" s="36"/>
      <c r="G43" s="186" t="s">
        <v>18</v>
      </c>
      <c r="H43" s="186"/>
      <c r="I43" s="186"/>
      <c r="J43" s="43"/>
      <c r="K43" s="36"/>
      <c r="L43" s="36"/>
      <c r="M43" s="36"/>
      <c r="N43" s="36"/>
      <c r="O43" s="12"/>
      <c r="P43" s="186" t="s">
        <v>14</v>
      </c>
      <c r="Q43" s="186"/>
      <c r="R43" s="186"/>
      <c r="S43" s="46"/>
    </row>
    <row r="44" spans="2:20" ht="15.75" x14ac:dyDescent="0.25">
      <c r="B44" s="36"/>
      <c r="C44" s="200"/>
      <c r="D44" s="36"/>
      <c r="E44" s="200"/>
      <c r="F44" s="13" t="s">
        <v>11</v>
      </c>
      <c r="G44" s="26" t="s">
        <v>2</v>
      </c>
      <c r="H44" s="26" t="s">
        <v>3</v>
      </c>
      <c r="I44" s="26" t="s">
        <v>4</v>
      </c>
      <c r="J44" s="26"/>
      <c r="K44" s="26"/>
      <c r="L44" s="26"/>
      <c r="M44" s="26"/>
      <c r="N44" s="26"/>
      <c r="O44" s="26" t="s">
        <v>15</v>
      </c>
      <c r="P44" s="26" t="s">
        <v>2</v>
      </c>
      <c r="Q44" s="26" t="s">
        <v>3</v>
      </c>
      <c r="R44" s="26" t="s">
        <v>4</v>
      </c>
      <c r="S44" s="47"/>
    </row>
    <row r="45" spans="2:20" ht="15.75" x14ac:dyDescent="0.25">
      <c r="B45" s="36"/>
      <c r="C45" s="38"/>
      <c r="D45" s="36"/>
      <c r="E45" s="38"/>
      <c r="F45" s="36" t="s">
        <v>27</v>
      </c>
      <c r="G45" s="24">
        <f>((D11*G11)+(M11*P11))/2</f>
        <v>0</v>
      </c>
      <c r="H45" s="24">
        <f>((D11*H11)+(M11*Q11))/3</f>
        <v>0</v>
      </c>
      <c r="I45" s="24">
        <f>((D11*I11)+(M11*R11))/4</f>
        <v>0</v>
      </c>
      <c r="J45" s="24"/>
      <c r="K45" s="24"/>
      <c r="L45" s="24"/>
      <c r="M45" s="24"/>
      <c r="N45" s="24"/>
      <c r="O45" s="24">
        <f>H17+G18+G19+G20+G21+G22</f>
        <v>0</v>
      </c>
      <c r="P45" s="24">
        <f>G45+O45</f>
        <v>0</v>
      </c>
      <c r="Q45" s="24">
        <f>H45+O45</f>
        <v>0</v>
      </c>
      <c r="R45" s="24">
        <f>I45+O45</f>
        <v>0</v>
      </c>
      <c r="S45" s="48"/>
    </row>
    <row r="46" spans="2:20" ht="15.75" x14ac:dyDescent="0.25">
      <c r="B46" s="36"/>
      <c r="C46" s="38"/>
      <c r="D46" s="36"/>
      <c r="E46" s="38"/>
      <c r="F46" s="36" t="s">
        <v>26</v>
      </c>
      <c r="G46" s="24">
        <f>((D11*G11)+(M11*P11))/2</f>
        <v>0</v>
      </c>
      <c r="H46" s="24">
        <f>((D11*H11)+(M11*Q11))/3</f>
        <v>0</v>
      </c>
      <c r="I46" s="24">
        <f>((D11*I11)+(M11*R11))/4</f>
        <v>0</v>
      </c>
      <c r="J46" s="24"/>
      <c r="K46" s="24"/>
      <c r="L46" s="24"/>
      <c r="M46" s="24"/>
      <c r="N46" s="24"/>
      <c r="O46" s="24">
        <f>G17+G18+G19+G20+G21+G22</f>
        <v>0</v>
      </c>
      <c r="P46" s="24">
        <f>G46+O46</f>
        <v>0</v>
      </c>
      <c r="Q46" s="24">
        <f>H46+O46</f>
        <v>0</v>
      </c>
      <c r="R46" s="24">
        <f>I46+O46</f>
        <v>0</v>
      </c>
      <c r="S46" s="48"/>
    </row>
    <row r="47" spans="2:20" ht="15.75" x14ac:dyDescent="0.25">
      <c r="B47" s="36"/>
      <c r="C47" s="38"/>
      <c r="D47" s="36"/>
      <c r="E47" s="38"/>
      <c r="F47" s="36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48"/>
    </row>
    <row r="48" spans="2:20" ht="15.75" x14ac:dyDescent="0.25">
      <c r="B48" s="36"/>
      <c r="C48" s="38"/>
      <c r="D48" s="36"/>
      <c r="E48" s="38"/>
      <c r="F48" s="36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48"/>
    </row>
    <row r="49" spans="2:19" ht="15.75" x14ac:dyDescent="0.25">
      <c r="B49" s="36"/>
      <c r="C49" s="38"/>
      <c r="D49" s="36"/>
      <c r="E49" s="38"/>
      <c r="F49" s="36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48"/>
    </row>
    <row r="50" spans="2:19" ht="15.75" x14ac:dyDescent="0.25">
      <c r="B50" s="36"/>
      <c r="C50" s="36"/>
      <c r="D50" s="36"/>
      <c r="E50" s="36"/>
      <c r="F50" s="36"/>
      <c r="G50" s="36"/>
      <c r="H50" s="36"/>
      <c r="I50" s="36"/>
      <c r="J50" s="43"/>
      <c r="K50" s="36"/>
      <c r="L50" s="36"/>
      <c r="M50" s="36"/>
      <c r="N50" s="36"/>
      <c r="O50" s="36"/>
      <c r="P50" s="36"/>
      <c r="Q50" s="36"/>
      <c r="R50" s="36"/>
      <c r="S50" s="46"/>
    </row>
    <row r="51" spans="2:19" x14ac:dyDescent="0.25">
      <c r="B51" s="219" t="s">
        <v>36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1"/>
      <c r="S51" s="49"/>
    </row>
    <row r="52" spans="2:19" x14ac:dyDescent="0.25">
      <c r="B52" s="222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4"/>
      <c r="S52" s="49"/>
    </row>
    <row r="53" spans="2:19" x14ac:dyDescent="0.25">
      <c r="B53" s="222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4"/>
      <c r="S53" s="49"/>
    </row>
    <row r="54" spans="2:19" x14ac:dyDescent="0.25">
      <c r="B54" s="222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4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ht="55.15" customHeight="1" x14ac:dyDescent="0.25">
      <c r="B57" s="225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7"/>
      <c r="S57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J7:J8"/>
    <mergeCell ref="S7:S8"/>
    <mergeCell ref="G24:Q24"/>
    <mergeCell ref="Q7:Q8"/>
    <mergeCell ref="R7:R8"/>
    <mergeCell ref="T7:T8"/>
    <mergeCell ref="B12:B13"/>
    <mergeCell ref="C12:C13"/>
    <mergeCell ref="C14:D14"/>
    <mergeCell ref="E14:F14"/>
    <mergeCell ref="G14:H14"/>
    <mergeCell ref="I7:I8"/>
    <mergeCell ref="K7:K8"/>
    <mergeCell ref="L7:L8"/>
    <mergeCell ref="M7:M8"/>
    <mergeCell ref="N7:O7"/>
    <mergeCell ref="P7:P8"/>
    <mergeCell ref="B15:B17"/>
    <mergeCell ref="C15:D15"/>
    <mergeCell ref="E15:F15"/>
    <mergeCell ref="G15:H15"/>
    <mergeCell ref="B23:R23"/>
    <mergeCell ref="C36:C37"/>
    <mergeCell ref="E36:E37"/>
    <mergeCell ref="G25:I25"/>
    <mergeCell ref="P25:R25"/>
    <mergeCell ref="C27:C28"/>
    <mergeCell ref="E27:E28"/>
    <mergeCell ref="C29:C30"/>
    <mergeCell ref="E29:E30"/>
    <mergeCell ref="C31:C32"/>
    <mergeCell ref="E31:E32"/>
    <mergeCell ref="G33:Q33"/>
    <mergeCell ref="G34:I34"/>
    <mergeCell ref="P34:R34"/>
    <mergeCell ref="B51:R57"/>
    <mergeCell ref="C41:C42"/>
    <mergeCell ref="E41:E42"/>
    <mergeCell ref="G42:Q42"/>
    <mergeCell ref="C43:C44"/>
    <mergeCell ref="E43:E44"/>
    <mergeCell ref="G43:I43"/>
    <mergeCell ref="P43:R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T57"/>
  <sheetViews>
    <sheetView zoomScale="88" zoomScaleNormal="88" workbookViewId="0">
      <selection activeCell="C29" sqref="C29:C30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53" t="s">
        <v>21</v>
      </c>
      <c r="F8" s="53" t="s">
        <v>22</v>
      </c>
      <c r="G8" s="201"/>
      <c r="H8" s="201"/>
      <c r="I8" s="201"/>
      <c r="J8" s="230"/>
      <c r="K8" s="202"/>
      <c r="L8" s="218"/>
      <c r="M8" s="218"/>
      <c r="N8" s="56" t="s">
        <v>21</v>
      </c>
      <c r="O8" s="56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54" t="s">
        <v>5</v>
      </c>
      <c r="C9" s="55" t="s">
        <v>45</v>
      </c>
      <c r="D9" s="10">
        <v>4</v>
      </c>
      <c r="E9" s="3" t="s">
        <v>47</v>
      </c>
      <c r="F9" s="3" t="s">
        <v>48</v>
      </c>
      <c r="G9" s="9">
        <v>1150</v>
      </c>
      <c r="H9" s="9">
        <v>1300</v>
      </c>
      <c r="I9" s="9">
        <v>1450</v>
      </c>
      <c r="J9" s="9">
        <v>1600</v>
      </c>
      <c r="K9" s="9" t="s">
        <v>29</v>
      </c>
      <c r="L9" s="10" t="s">
        <v>46</v>
      </c>
      <c r="M9" s="10">
        <v>4</v>
      </c>
      <c r="N9" s="3" t="s">
        <v>48</v>
      </c>
      <c r="O9" s="3" t="s">
        <v>49</v>
      </c>
      <c r="P9" s="9">
        <v>1150</v>
      </c>
      <c r="Q9" s="9">
        <v>1250</v>
      </c>
      <c r="R9" s="9">
        <v>1350</v>
      </c>
      <c r="S9" s="9">
        <v>1450</v>
      </c>
      <c r="T9" s="9" t="s">
        <v>29</v>
      </c>
    </row>
    <row r="10" spans="1:20" ht="15.6" customHeight="1" x14ac:dyDescent="0.25">
      <c r="A10" s="17"/>
      <c r="B10" s="54" t="s">
        <v>19</v>
      </c>
      <c r="C10" s="55" t="s">
        <v>31</v>
      </c>
      <c r="D10" s="10"/>
      <c r="E10" s="3"/>
      <c r="F10" s="3"/>
      <c r="G10" s="9"/>
      <c r="H10" s="9"/>
      <c r="I10" s="9"/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54" t="s">
        <v>32</v>
      </c>
      <c r="C11" s="55" t="s">
        <v>35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/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20</v>
      </c>
      <c r="D16" s="29"/>
      <c r="E16" s="25"/>
      <c r="F16" s="25"/>
      <c r="G16" s="18"/>
      <c r="H16" s="18"/>
      <c r="I16" s="19"/>
      <c r="J16" s="19"/>
      <c r="K16" s="19"/>
      <c r="L16" s="50"/>
      <c r="M16" s="50"/>
      <c r="N16" s="50"/>
      <c r="O16" s="50"/>
      <c r="P16" s="19"/>
      <c r="Q16" s="19"/>
      <c r="R16" s="19"/>
      <c r="S16" s="19"/>
      <c r="T16" s="16"/>
    </row>
    <row r="17" spans="2:20" ht="15.75" x14ac:dyDescent="0.25">
      <c r="B17" s="200"/>
      <c r="C17" s="30"/>
      <c r="D17" s="30"/>
      <c r="E17" s="27"/>
      <c r="F17" s="27"/>
      <c r="G17" s="32"/>
      <c r="H17" s="32"/>
      <c r="I17" s="19"/>
      <c r="J17" s="19"/>
      <c r="K17" s="19"/>
      <c r="L17" s="50"/>
      <c r="M17" s="50"/>
      <c r="N17" s="50"/>
      <c r="O17" s="50"/>
      <c r="P17" s="19"/>
      <c r="Q17" s="19"/>
      <c r="R17" s="19"/>
      <c r="S17" s="19"/>
      <c r="T17" s="16"/>
    </row>
    <row r="18" spans="2:20" ht="15.75" x14ac:dyDescent="0.25">
      <c r="B18" s="50" t="s">
        <v>7</v>
      </c>
      <c r="C18" s="31"/>
      <c r="D18" s="31"/>
      <c r="E18" s="28"/>
      <c r="F18" s="28"/>
      <c r="G18" s="33"/>
      <c r="H18" s="33"/>
      <c r="I18" s="19"/>
      <c r="J18" s="19"/>
      <c r="K18" s="19"/>
      <c r="L18" s="12"/>
      <c r="M18" s="12"/>
      <c r="N18" s="12"/>
      <c r="O18" s="12"/>
      <c r="P18" s="19"/>
      <c r="Q18" s="19"/>
      <c r="R18" s="19"/>
      <c r="S18" s="19"/>
      <c r="T18" s="16"/>
    </row>
    <row r="19" spans="2:20" ht="15.75" x14ac:dyDescent="0.25">
      <c r="B19" s="50" t="s">
        <v>30</v>
      </c>
      <c r="C19" s="31">
        <v>500</v>
      </c>
      <c r="D19" s="31"/>
      <c r="E19" s="28"/>
      <c r="F19" s="28"/>
      <c r="G19" s="33"/>
      <c r="H19" s="33"/>
      <c r="I19" s="19"/>
      <c r="J19" s="19"/>
      <c r="K19" s="19"/>
      <c r="L19" s="12"/>
      <c r="M19" s="12"/>
      <c r="N19" s="12"/>
      <c r="O19" s="12"/>
      <c r="P19" s="19"/>
      <c r="Q19" s="19"/>
      <c r="R19" s="19"/>
      <c r="S19" s="19"/>
      <c r="T19" s="16"/>
    </row>
    <row r="20" spans="2:20" ht="31.5" x14ac:dyDescent="0.25">
      <c r="B20" s="50" t="s">
        <v>37</v>
      </c>
      <c r="C20" s="31"/>
      <c r="D20" s="31"/>
      <c r="E20" s="28"/>
      <c r="F20" s="28"/>
      <c r="G20" s="33"/>
      <c r="H20" s="33"/>
      <c r="I20" s="19"/>
      <c r="J20" s="19"/>
      <c r="K20" s="19"/>
      <c r="L20" s="12"/>
      <c r="M20" s="12"/>
      <c r="N20" s="12"/>
      <c r="O20" s="12"/>
      <c r="P20" s="19"/>
      <c r="Q20" s="19"/>
      <c r="R20" s="19"/>
      <c r="S20" s="19"/>
      <c r="T20" s="16"/>
    </row>
    <row r="21" spans="2:20" ht="15.75" x14ac:dyDescent="0.25">
      <c r="B21" s="50" t="s">
        <v>8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50" t="s">
        <v>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15.75" x14ac:dyDescent="0.25">
      <c r="B23" s="196" t="s">
        <v>10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44"/>
      <c r="T23" s="20"/>
    </row>
    <row r="24" spans="2:20" ht="18.75" x14ac:dyDescent="0.25">
      <c r="B24" s="50" t="s">
        <v>11</v>
      </c>
      <c r="C24" s="50"/>
      <c r="D24" s="50"/>
      <c r="E24" s="50"/>
      <c r="F24" s="50"/>
      <c r="G24" s="197" t="s">
        <v>12</v>
      </c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2"/>
      <c r="S24" s="45"/>
      <c r="T24" s="20"/>
    </row>
    <row r="25" spans="2:20" ht="15.75" x14ac:dyDescent="0.25">
      <c r="B25" s="12"/>
      <c r="C25" s="12"/>
      <c r="D25" s="12"/>
      <c r="E25" s="12"/>
      <c r="F25" s="12"/>
      <c r="G25" s="186" t="s">
        <v>13</v>
      </c>
      <c r="H25" s="186"/>
      <c r="I25" s="186"/>
      <c r="J25" s="50"/>
      <c r="K25" s="50"/>
      <c r="L25" s="50"/>
      <c r="M25" s="50"/>
      <c r="N25" s="50"/>
      <c r="O25" s="12"/>
      <c r="P25" s="186" t="s">
        <v>14</v>
      </c>
      <c r="Q25" s="186"/>
      <c r="R25" s="186"/>
      <c r="S25" s="46"/>
      <c r="T25" s="20"/>
    </row>
    <row r="26" spans="2:20" ht="31.5" x14ac:dyDescent="0.25">
      <c r="B26" s="13"/>
      <c r="C26" s="13"/>
      <c r="D26" s="13"/>
      <c r="E26" s="13"/>
      <c r="F26" s="13" t="s">
        <v>11</v>
      </c>
      <c r="G26" s="34" t="s">
        <v>2</v>
      </c>
      <c r="H26" s="34" t="s">
        <v>3</v>
      </c>
      <c r="I26" s="34" t="s">
        <v>4</v>
      </c>
      <c r="J26" s="34" t="s">
        <v>44</v>
      </c>
      <c r="K26" s="34"/>
      <c r="L26" s="34"/>
      <c r="M26" s="34"/>
      <c r="N26" s="34"/>
      <c r="O26" s="34" t="s">
        <v>15</v>
      </c>
      <c r="P26" s="34" t="s">
        <v>2</v>
      </c>
      <c r="Q26" s="34" t="s">
        <v>3</v>
      </c>
      <c r="R26" s="34" t="s">
        <v>4</v>
      </c>
      <c r="S26" s="34" t="s">
        <v>44</v>
      </c>
      <c r="T26" s="34"/>
    </row>
    <row r="27" spans="2:20" ht="15.75" x14ac:dyDescent="0.25">
      <c r="B27" s="50"/>
      <c r="C27" s="198"/>
      <c r="D27" s="50"/>
      <c r="E27" s="198"/>
      <c r="F27" s="50" t="s">
        <v>27</v>
      </c>
      <c r="G27" s="18">
        <f>((G9*D9)+(P9*M9))/2</f>
        <v>4600</v>
      </c>
      <c r="H27" s="18">
        <f>((D9*H9)+(M9*Q9))/3</f>
        <v>3400</v>
      </c>
      <c r="I27" s="18">
        <f>((D9*I9)+(M9*R9))/4</f>
        <v>2800</v>
      </c>
      <c r="J27" s="18">
        <f>((D9*J9)+(M9*R9))/5</f>
        <v>2360</v>
      </c>
      <c r="K27" s="18"/>
      <c r="L27" s="18"/>
      <c r="M27" s="18"/>
      <c r="N27" s="18"/>
      <c r="O27" s="18">
        <f>C17+C18+C19+C20+C21+C22</f>
        <v>500</v>
      </c>
      <c r="P27" s="18">
        <f>G27+O27</f>
        <v>5100</v>
      </c>
      <c r="Q27" s="18">
        <f>H27+O27</f>
        <v>3900</v>
      </c>
      <c r="R27" s="18">
        <f>I27+O27</f>
        <v>3300</v>
      </c>
      <c r="S27" s="18">
        <f>J27+O27</f>
        <v>2860</v>
      </c>
      <c r="T27" s="18"/>
    </row>
    <row r="28" spans="2:20" ht="15.75" x14ac:dyDescent="0.25">
      <c r="B28" s="50"/>
      <c r="C28" s="200"/>
      <c r="D28" s="50"/>
      <c r="E28" s="200"/>
      <c r="F28" s="50" t="s">
        <v>26</v>
      </c>
      <c r="G28" s="18">
        <f>((D9*G9)+(M9*P9))/2</f>
        <v>4600</v>
      </c>
      <c r="H28" s="18">
        <f>((D9*H9)+(M9*Q9))/3</f>
        <v>3400</v>
      </c>
      <c r="I28" s="18">
        <f>((D9*I9)+(M9*R9))/4</f>
        <v>2800</v>
      </c>
      <c r="J28" s="18">
        <f>((D9*J9)+(M9*S9))/5</f>
        <v>2440</v>
      </c>
      <c r="K28" s="18"/>
      <c r="L28" s="18"/>
      <c r="M28" s="18"/>
      <c r="N28" s="18"/>
      <c r="O28" s="18">
        <f>C17+C18+C19+C20+C21+C22</f>
        <v>500</v>
      </c>
      <c r="P28" s="18">
        <f>G28+O28</f>
        <v>5100</v>
      </c>
      <c r="Q28" s="18">
        <f>H28+O28</f>
        <v>3900</v>
      </c>
      <c r="R28" s="18">
        <f>I28+O28</f>
        <v>3300</v>
      </c>
      <c r="S28" s="18">
        <f>J28+O28</f>
        <v>2940</v>
      </c>
      <c r="T28" s="18"/>
    </row>
    <row r="29" spans="2:20" ht="15.75" x14ac:dyDescent="0.25">
      <c r="B29" s="50"/>
      <c r="C29" s="198"/>
      <c r="D29" s="50"/>
      <c r="E29" s="19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46"/>
      <c r="T29" s="20"/>
    </row>
    <row r="30" spans="2:20" ht="15.75" x14ac:dyDescent="0.25">
      <c r="B30" s="50"/>
      <c r="C30" s="200"/>
      <c r="D30" s="50"/>
      <c r="E30" s="20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46"/>
      <c r="T30" s="20"/>
    </row>
    <row r="31" spans="2:20" ht="15.75" x14ac:dyDescent="0.25">
      <c r="B31" s="50"/>
      <c r="C31" s="198"/>
      <c r="D31" s="50"/>
      <c r="E31" s="198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46"/>
      <c r="T31" s="20"/>
    </row>
    <row r="32" spans="2:20" ht="15.75" x14ac:dyDescent="0.25">
      <c r="B32" s="50"/>
      <c r="C32" s="200"/>
      <c r="D32" s="50"/>
      <c r="E32" s="20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46"/>
      <c r="T32" s="20"/>
    </row>
    <row r="33" spans="2:20" ht="18.75" x14ac:dyDescent="0.25">
      <c r="B33" s="50"/>
      <c r="C33" s="50"/>
      <c r="D33" s="50"/>
      <c r="E33" s="50"/>
      <c r="F33" s="50"/>
      <c r="G33" s="228" t="s">
        <v>18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50"/>
      <c r="S33" s="46"/>
      <c r="T33" s="20"/>
    </row>
    <row r="34" spans="2:20" ht="15.75" x14ac:dyDescent="0.25">
      <c r="B34" s="50"/>
      <c r="C34" s="50"/>
      <c r="D34" s="50"/>
      <c r="E34" s="50"/>
      <c r="F34" s="50"/>
      <c r="G34" s="186" t="s">
        <v>18</v>
      </c>
      <c r="H34" s="186"/>
      <c r="I34" s="186"/>
      <c r="J34" s="50"/>
      <c r="K34" s="50"/>
      <c r="L34" s="50"/>
      <c r="M34" s="50"/>
      <c r="N34" s="50"/>
      <c r="O34" s="12"/>
      <c r="P34" s="186" t="s">
        <v>14</v>
      </c>
      <c r="Q34" s="186"/>
      <c r="R34" s="186"/>
      <c r="S34" s="46"/>
      <c r="T34" s="20"/>
    </row>
    <row r="35" spans="2:20" ht="31.5" x14ac:dyDescent="0.25">
      <c r="B35" s="50"/>
      <c r="C35" s="13"/>
      <c r="D35" s="13"/>
      <c r="E35" s="13"/>
      <c r="F35" s="13" t="s">
        <v>11</v>
      </c>
      <c r="G35" s="26" t="s">
        <v>2</v>
      </c>
      <c r="H35" s="26" t="s">
        <v>3</v>
      </c>
      <c r="I35" s="34" t="s">
        <v>4</v>
      </c>
      <c r="J35" s="34" t="s">
        <v>44</v>
      </c>
      <c r="K35" s="26"/>
      <c r="L35" s="26"/>
      <c r="M35" s="26"/>
      <c r="N35" s="26"/>
      <c r="O35" s="26" t="s">
        <v>15</v>
      </c>
      <c r="P35" s="26" t="s">
        <v>2</v>
      </c>
      <c r="Q35" s="26" t="s">
        <v>3</v>
      </c>
      <c r="R35" s="26" t="s">
        <v>4</v>
      </c>
      <c r="S35" s="34" t="s">
        <v>44</v>
      </c>
      <c r="T35" s="20"/>
    </row>
    <row r="36" spans="2:20" ht="15.75" x14ac:dyDescent="0.25">
      <c r="B36" s="50"/>
      <c r="C36" s="198"/>
      <c r="D36" s="50"/>
      <c r="E36" s="198"/>
      <c r="F36" s="50" t="s">
        <v>27</v>
      </c>
      <c r="G36" s="18">
        <f>((D9*G9)+(M9*P9))/2</f>
        <v>4600</v>
      </c>
      <c r="H36" s="18">
        <f>((D9*H9)+(M9*Q9))/3</f>
        <v>3400</v>
      </c>
      <c r="I36" s="18">
        <f>((D9*I9)+(M9*R9))/4</f>
        <v>2800</v>
      </c>
      <c r="J36" s="18">
        <f>((D9*J9)+(P9*S9))/5</f>
        <v>334780</v>
      </c>
      <c r="K36" s="24"/>
      <c r="L36" s="24"/>
      <c r="M36" s="24"/>
      <c r="N36" s="24"/>
      <c r="O36" s="18">
        <f>E17+E18+E19+E20+E21+E22</f>
        <v>0</v>
      </c>
      <c r="P36" s="18">
        <f>G36+O36</f>
        <v>4600</v>
      </c>
      <c r="Q36" s="18">
        <f>H36+O36</f>
        <v>3400</v>
      </c>
      <c r="R36" s="18">
        <f>I36+O36</f>
        <v>2800</v>
      </c>
      <c r="S36" s="18">
        <f>J36+O36</f>
        <v>334780</v>
      </c>
    </row>
    <row r="37" spans="2:20" ht="15.75" x14ac:dyDescent="0.25">
      <c r="B37" s="50"/>
      <c r="C37" s="200"/>
      <c r="D37" s="50"/>
      <c r="E37" s="200"/>
      <c r="F37" s="50" t="s">
        <v>26</v>
      </c>
      <c r="G37" s="18">
        <f>((D18*G18)+(M18*P18))/2</f>
        <v>0</v>
      </c>
      <c r="H37" s="18">
        <f>((D18*H18)+(M18*Q18))/3</f>
        <v>0</v>
      </c>
      <c r="I37" s="18">
        <f>((D18*I18)+(M18*R18))/4</f>
        <v>0</v>
      </c>
      <c r="J37" s="18">
        <f>((D18*J18)+(M18*S18))/5</f>
        <v>0</v>
      </c>
      <c r="K37" s="24"/>
      <c r="L37" s="24"/>
      <c r="M37" s="24"/>
      <c r="N37" s="24"/>
      <c r="O37" s="18">
        <f>C26+C27+C28+C29+C30+C31</f>
        <v>0</v>
      </c>
      <c r="P37" s="18">
        <f>G37+O37</f>
        <v>0</v>
      </c>
      <c r="Q37" s="18">
        <f>H37+O37</f>
        <v>0</v>
      </c>
      <c r="R37" s="18">
        <f>I37+O37</f>
        <v>0</v>
      </c>
      <c r="S37" s="18">
        <f>J37+O37</f>
        <v>0</v>
      </c>
    </row>
    <row r="38" spans="2:20" ht="15.75" x14ac:dyDescent="0.25">
      <c r="B38" s="50"/>
      <c r="C38" s="51"/>
      <c r="D38" s="50"/>
      <c r="E38" s="51"/>
      <c r="F38" s="50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50"/>
      <c r="S38" s="46"/>
    </row>
    <row r="39" spans="2:20" ht="15.75" x14ac:dyDescent="0.25">
      <c r="B39" s="50"/>
      <c r="C39" s="51"/>
      <c r="D39" s="50"/>
      <c r="E39" s="51"/>
      <c r="F39" s="50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50"/>
      <c r="S39" s="46"/>
    </row>
    <row r="40" spans="2:20" ht="15.75" x14ac:dyDescent="0.25">
      <c r="B40" s="50"/>
      <c r="C40" s="51"/>
      <c r="D40" s="50"/>
      <c r="E40" s="51"/>
      <c r="F40" s="50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50"/>
      <c r="S40" s="46"/>
    </row>
    <row r="41" spans="2:20" ht="15.75" x14ac:dyDescent="0.25">
      <c r="B41" s="50"/>
      <c r="C41" s="198"/>
      <c r="D41" s="50"/>
      <c r="E41" s="198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46"/>
    </row>
    <row r="42" spans="2:20" ht="18.75" x14ac:dyDescent="0.25">
      <c r="B42" s="50"/>
      <c r="C42" s="200"/>
      <c r="D42" s="50"/>
      <c r="E42" s="200"/>
      <c r="F42" s="50"/>
      <c r="G42" s="195" t="s">
        <v>32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50"/>
      <c r="S42" s="46"/>
    </row>
    <row r="43" spans="2:20" ht="15.75" x14ac:dyDescent="0.25">
      <c r="B43" s="50"/>
      <c r="C43" s="198"/>
      <c r="D43" s="50"/>
      <c r="E43" s="198"/>
      <c r="F43" s="50"/>
      <c r="G43" s="186" t="s">
        <v>18</v>
      </c>
      <c r="H43" s="186"/>
      <c r="I43" s="186"/>
      <c r="J43" s="50"/>
      <c r="K43" s="50"/>
      <c r="L43" s="50"/>
      <c r="M43" s="50"/>
      <c r="N43" s="50"/>
      <c r="O43" s="12"/>
      <c r="P43" s="186" t="s">
        <v>14</v>
      </c>
      <c r="Q43" s="186"/>
      <c r="R43" s="186"/>
      <c r="S43" s="46"/>
    </row>
    <row r="44" spans="2:20" ht="15.75" x14ac:dyDescent="0.25">
      <c r="B44" s="50"/>
      <c r="C44" s="200"/>
      <c r="D44" s="50"/>
      <c r="E44" s="200"/>
      <c r="F44" s="13" t="s">
        <v>11</v>
      </c>
      <c r="G44" s="26" t="s">
        <v>2</v>
      </c>
      <c r="H44" s="26" t="s">
        <v>3</v>
      </c>
      <c r="I44" s="26" t="s">
        <v>4</v>
      </c>
      <c r="J44" s="26"/>
      <c r="K44" s="26"/>
      <c r="L44" s="26"/>
      <c r="M44" s="26"/>
      <c r="N44" s="26"/>
      <c r="O44" s="26" t="s">
        <v>15</v>
      </c>
      <c r="P44" s="26" t="s">
        <v>2</v>
      </c>
      <c r="Q44" s="26" t="s">
        <v>3</v>
      </c>
      <c r="R44" s="26" t="s">
        <v>4</v>
      </c>
      <c r="S44" s="47"/>
    </row>
    <row r="45" spans="2:20" ht="15.75" x14ac:dyDescent="0.25">
      <c r="B45" s="50"/>
      <c r="C45" s="52"/>
      <c r="D45" s="50"/>
      <c r="E45" s="52"/>
      <c r="F45" s="50" t="s">
        <v>27</v>
      </c>
      <c r="G45" s="24">
        <f>((D11*G11)+(M11*P11))/2</f>
        <v>0</v>
      </c>
      <c r="H45" s="24">
        <f>((D11*H11)+(M11*Q11))/3</f>
        <v>0</v>
      </c>
      <c r="I45" s="24">
        <f>((D11*I11)+(M11*R11))/4</f>
        <v>0</v>
      </c>
      <c r="J45" s="24"/>
      <c r="K45" s="24"/>
      <c r="L45" s="24"/>
      <c r="M45" s="24"/>
      <c r="N45" s="24"/>
      <c r="O45" s="24">
        <f>H17+G18+G19+G20+G21+G22</f>
        <v>0</v>
      </c>
      <c r="P45" s="24">
        <f>G45+O45</f>
        <v>0</v>
      </c>
      <c r="Q45" s="24">
        <f>H45+O45</f>
        <v>0</v>
      </c>
      <c r="R45" s="24">
        <f>I45+O45</f>
        <v>0</v>
      </c>
      <c r="S45" s="48"/>
    </row>
    <row r="46" spans="2:20" ht="15.75" x14ac:dyDescent="0.25">
      <c r="B46" s="50"/>
      <c r="C46" s="52"/>
      <c r="D46" s="50"/>
      <c r="E46" s="52"/>
      <c r="F46" s="50" t="s">
        <v>26</v>
      </c>
      <c r="G46" s="24">
        <f>((D11*G11)+(M11*P11))/2</f>
        <v>0</v>
      </c>
      <c r="H46" s="24">
        <f>((D11*H11)+(M11*Q11))/3</f>
        <v>0</v>
      </c>
      <c r="I46" s="24">
        <f>((D11*I11)+(M11*R11))/4</f>
        <v>0</v>
      </c>
      <c r="J46" s="24"/>
      <c r="K46" s="24"/>
      <c r="L46" s="24"/>
      <c r="M46" s="24"/>
      <c r="N46" s="24"/>
      <c r="O46" s="24">
        <f>G17+G18+G19+G20+G21+G22</f>
        <v>0</v>
      </c>
      <c r="P46" s="24">
        <f>G46+O46</f>
        <v>0</v>
      </c>
      <c r="Q46" s="24">
        <f>H46+O46</f>
        <v>0</v>
      </c>
      <c r="R46" s="24">
        <f>I46+O46</f>
        <v>0</v>
      </c>
      <c r="S46" s="48"/>
    </row>
    <row r="47" spans="2:20" ht="15.75" x14ac:dyDescent="0.25">
      <c r="B47" s="50"/>
      <c r="C47" s="52"/>
      <c r="D47" s="50"/>
      <c r="E47" s="52"/>
      <c r="F47" s="50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48"/>
    </row>
    <row r="48" spans="2:20" ht="15.75" x14ac:dyDescent="0.25">
      <c r="B48" s="50"/>
      <c r="C48" s="52"/>
      <c r="D48" s="50"/>
      <c r="E48" s="52"/>
      <c r="F48" s="50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48"/>
    </row>
    <row r="49" spans="2:19" ht="15.75" x14ac:dyDescent="0.25">
      <c r="B49" s="50"/>
      <c r="C49" s="52"/>
      <c r="D49" s="50"/>
      <c r="E49" s="52"/>
      <c r="F49" s="50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48"/>
    </row>
    <row r="50" spans="2:19" ht="15.75" x14ac:dyDescent="0.25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46"/>
    </row>
    <row r="51" spans="2:19" x14ac:dyDescent="0.25">
      <c r="B51" s="219" t="s">
        <v>36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1"/>
      <c r="S51" s="49"/>
    </row>
    <row r="52" spans="2:19" x14ac:dyDescent="0.25">
      <c r="B52" s="222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4"/>
      <c r="S52" s="49"/>
    </row>
    <row r="53" spans="2:19" x14ac:dyDescent="0.25">
      <c r="B53" s="222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4"/>
      <c r="S53" s="49"/>
    </row>
    <row r="54" spans="2:19" x14ac:dyDescent="0.25">
      <c r="B54" s="222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4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ht="55.15" customHeight="1" x14ac:dyDescent="0.25">
      <c r="B57" s="225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7"/>
      <c r="S57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7"/>
    <mergeCell ref="C15:D15"/>
    <mergeCell ref="E15:F15"/>
    <mergeCell ref="G15:H15"/>
    <mergeCell ref="G34:I34"/>
    <mergeCell ref="P34:R34"/>
    <mergeCell ref="B23:R23"/>
    <mergeCell ref="G24:Q24"/>
    <mergeCell ref="G25:I25"/>
    <mergeCell ref="P25:R25"/>
    <mergeCell ref="C27:C28"/>
    <mergeCell ref="E27:E28"/>
    <mergeCell ref="C29:C30"/>
    <mergeCell ref="E29:E30"/>
    <mergeCell ref="C31:C32"/>
    <mergeCell ref="E31:E32"/>
    <mergeCell ref="G33:Q33"/>
    <mergeCell ref="B51:R57"/>
    <mergeCell ref="C36:C37"/>
    <mergeCell ref="E36:E37"/>
    <mergeCell ref="C41:C42"/>
    <mergeCell ref="E41:E42"/>
    <mergeCell ref="G42:Q42"/>
    <mergeCell ref="C43:C44"/>
    <mergeCell ref="E43:E44"/>
    <mergeCell ref="G43:I43"/>
    <mergeCell ref="P43:R4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T57"/>
  <sheetViews>
    <sheetView zoomScale="88" zoomScaleNormal="88" workbookViewId="0">
      <selection activeCell="V33" sqref="V33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62" t="s">
        <v>21</v>
      </c>
      <c r="F8" s="62" t="s">
        <v>22</v>
      </c>
      <c r="G8" s="201"/>
      <c r="H8" s="201"/>
      <c r="I8" s="201"/>
      <c r="J8" s="230"/>
      <c r="K8" s="202"/>
      <c r="L8" s="218"/>
      <c r="M8" s="218"/>
      <c r="N8" s="61" t="s">
        <v>21</v>
      </c>
      <c r="O8" s="61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59" t="s">
        <v>5</v>
      </c>
      <c r="C9" s="60" t="s">
        <v>50</v>
      </c>
      <c r="D9" s="10">
        <v>5</v>
      </c>
      <c r="E9" s="3">
        <v>45728</v>
      </c>
      <c r="F9" s="3">
        <v>45881</v>
      </c>
      <c r="G9" s="9">
        <v>800</v>
      </c>
      <c r="H9" s="9">
        <v>950</v>
      </c>
      <c r="I9" s="9">
        <v>1100</v>
      </c>
      <c r="J9" s="9">
        <v>1250</v>
      </c>
      <c r="K9" s="9" t="s">
        <v>29</v>
      </c>
      <c r="L9" s="10" t="s">
        <v>52</v>
      </c>
      <c r="M9" s="10">
        <v>5</v>
      </c>
      <c r="N9" s="3">
        <v>45881</v>
      </c>
      <c r="O9" s="3" t="s">
        <v>51</v>
      </c>
      <c r="P9" s="9">
        <v>780</v>
      </c>
      <c r="Q9" s="9">
        <v>880</v>
      </c>
      <c r="R9" s="9">
        <v>980</v>
      </c>
      <c r="S9" s="9">
        <v>1080</v>
      </c>
      <c r="T9" s="9" t="s">
        <v>29</v>
      </c>
    </row>
    <row r="10" spans="1:20" ht="15.6" customHeight="1" x14ac:dyDescent="0.25">
      <c r="A10" s="17"/>
      <c r="B10" s="59" t="s">
        <v>19</v>
      </c>
      <c r="C10" s="60" t="s">
        <v>31</v>
      </c>
      <c r="D10" s="10"/>
      <c r="E10" s="3"/>
      <c r="F10" s="3"/>
      <c r="G10" s="9"/>
      <c r="H10" s="9"/>
      <c r="I10" s="9"/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59" t="s">
        <v>32</v>
      </c>
      <c r="C11" s="60" t="s">
        <v>35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/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2</v>
      </c>
      <c r="D16" s="29"/>
      <c r="E16" s="25"/>
      <c r="F16" s="25"/>
      <c r="G16" s="18"/>
      <c r="H16" s="18"/>
      <c r="I16" s="19"/>
      <c r="J16" s="19"/>
      <c r="K16" s="19"/>
      <c r="L16" s="58"/>
      <c r="M16" s="58"/>
      <c r="N16" s="58"/>
      <c r="O16" s="58"/>
      <c r="P16" s="19"/>
      <c r="Q16" s="19"/>
      <c r="R16" s="19"/>
      <c r="S16" s="19"/>
      <c r="T16" s="16"/>
    </row>
    <row r="17" spans="2:20" ht="15.75" x14ac:dyDescent="0.25">
      <c r="B17" s="200"/>
      <c r="C17" s="30"/>
      <c r="D17" s="30"/>
      <c r="E17" s="27"/>
      <c r="F17" s="27"/>
      <c r="G17" s="32"/>
      <c r="H17" s="32"/>
      <c r="I17" s="19"/>
      <c r="J17" s="19"/>
      <c r="K17" s="19"/>
      <c r="L17" s="58"/>
      <c r="M17" s="58"/>
      <c r="N17" s="58"/>
      <c r="O17" s="58"/>
      <c r="P17" s="19"/>
      <c r="Q17" s="19"/>
      <c r="R17" s="19"/>
      <c r="S17" s="19"/>
      <c r="T17" s="16"/>
    </row>
    <row r="18" spans="2:20" ht="15.75" x14ac:dyDescent="0.25">
      <c r="B18" s="58" t="s">
        <v>7</v>
      </c>
      <c r="C18" s="31"/>
      <c r="D18" s="31"/>
      <c r="E18" s="28"/>
      <c r="F18" s="28"/>
      <c r="G18" s="33"/>
      <c r="H18" s="33"/>
      <c r="I18" s="19"/>
      <c r="J18" s="19"/>
      <c r="K18" s="19"/>
      <c r="L18" s="12"/>
      <c r="M18" s="12"/>
      <c r="N18" s="12"/>
      <c r="O18" s="12"/>
      <c r="P18" s="19"/>
      <c r="Q18" s="19"/>
      <c r="R18" s="19"/>
      <c r="S18" s="19"/>
      <c r="T18" s="16"/>
    </row>
    <row r="19" spans="2:20" ht="15.75" x14ac:dyDescent="0.25">
      <c r="B19" s="58" t="s">
        <v>30</v>
      </c>
      <c r="C19" s="31">
        <v>500</v>
      </c>
      <c r="D19" s="31"/>
      <c r="E19" s="28"/>
      <c r="F19" s="28"/>
      <c r="G19" s="33"/>
      <c r="H19" s="33"/>
      <c r="I19" s="19"/>
      <c r="J19" s="19"/>
      <c r="K19" s="19"/>
      <c r="L19" s="12"/>
      <c r="M19" s="12"/>
      <c r="N19" s="12"/>
      <c r="O19" s="12"/>
      <c r="P19" s="19"/>
      <c r="Q19" s="19"/>
      <c r="R19" s="19"/>
      <c r="S19" s="19"/>
      <c r="T19" s="16"/>
    </row>
    <row r="20" spans="2:20" ht="31.5" x14ac:dyDescent="0.25">
      <c r="B20" s="58" t="s">
        <v>37</v>
      </c>
      <c r="C20" s="31"/>
      <c r="D20" s="31"/>
      <c r="E20" s="28"/>
      <c r="F20" s="28"/>
      <c r="G20" s="33"/>
      <c r="H20" s="33"/>
      <c r="I20" s="19"/>
      <c r="J20" s="19"/>
      <c r="K20" s="19"/>
      <c r="L20" s="12"/>
      <c r="M20" s="12"/>
      <c r="N20" s="12"/>
      <c r="O20" s="12"/>
      <c r="P20" s="19"/>
      <c r="Q20" s="19"/>
      <c r="R20" s="19"/>
      <c r="S20" s="19"/>
      <c r="T20" s="16"/>
    </row>
    <row r="21" spans="2:20" ht="15.75" x14ac:dyDescent="0.25">
      <c r="B21" s="58" t="s">
        <v>8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58" t="s">
        <v>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15.75" x14ac:dyDescent="0.25">
      <c r="B23" s="196" t="s">
        <v>10</v>
      </c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44"/>
      <c r="T23" s="20"/>
    </row>
    <row r="24" spans="2:20" ht="18.75" x14ac:dyDescent="0.25">
      <c r="B24" s="58" t="s">
        <v>11</v>
      </c>
      <c r="C24" s="58"/>
      <c r="D24" s="58"/>
      <c r="E24" s="58"/>
      <c r="F24" s="58"/>
      <c r="G24" s="197" t="s">
        <v>12</v>
      </c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2"/>
      <c r="S24" s="45"/>
      <c r="T24" s="20"/>
    </row>
    <row r="25" spans="2:20" ht="15.75" x14ac:dyDescent="0.25">
      <c r="B25" s="12"/>
      <c r="C25" s="12"/>
      <c r="D25" s="12"/>
      <c r="E25" s="12"/>
      <c r="F25" s="12"/>
      <c r="G25" s="186" t="s">
        <v>13</v>
      </c>
      <c r="H25" s="186"/>
      <c r="I25" s="186"/>
      <c r="J25" s="58"/>
      <c r="K25" s="58"/>
      <c r="L25" s="58"/>
      <c r="M25" s="58"/>
      <c r="N25" s="58"/>
      <c r="O25" s="12"/>
      <c r="P25" s="186" t="s">
        <v>14</v>
      </c>
      <c r="Q25" s="186"/>
      <c r="R25" s="186"/>
      <c r="S25" s="46"/>
      <c r="T25" s="20"/>
    </row>
    <row r="26" spans="2:20" ht="31.5" x14ac:dyDescent="0.25">
      <c r="B26" s="13"/>
      <c r="C26" s="13"/>
      <c r="D26" s="13"/>
      <c r="E26" s="13"/>
      <c r="F26" s="13" t="s">
        <v>11</v>
      </c>
      <c r="G26" s="34" t="s">
        <v>2</v>
      </c>
      <c r="H26" s="34" t="s">
        <v>3</v>
      </c>
      <c r="I26" s="34" t="s">
        <v>4</v>
      </c>
      <c r="J26" s="34" t="s">
        <v>44</v>
      </c>
      <c r="K26" s="34"/>
      <c r="L26" s="34"/>
      <c r="M26" s="34"/>
      <c r="N26" s="34"/>
      <c r="O26" s="34" t="s">
        <v>15</v>
      </c>
      <c r="P26" s="34" t="s">
        <v>2</v>
      </c>
      <c r="Q26" s="34" t="s">
        <v>3</v>
      </c>
      <c r="R26" s="34" t="s">
        <v>4</v>
      </c>
      <c r="S26" s="34" t="s">
        <v>44</v>
      </c>
      <c r="T26" s="34"/>
    </row>
    <row r="27" spans="2:20" ht="15.75" x14ac:dyDescent="0.25">
      <c r="B27" s="58"/>
      <c r="C27" s="198"/>
      <c r="D27" s="58"/>
      <c r="E27" s="198"/>
      <c r="F27" s="58" t="s">
        <v>27</v>
      </c>
      <c r="G27" s="18">
        <f>((G9*D9)+(P9*M9))/2</f>
        <v>3950</v>
      </c>
      <c r="H27" s="18">
        <f>((D9*H9)+(M9*Q9))/3</f>
        <v>3050</v>
      </c>
      <c r="I27" s="18">
        <f>((D9*I9)+(M9*R9))/4</f>
        <v>2600</v>
      </c>
      <c r="J27" s="18">
        <f>((D9*J9)+(M9*R9))/5</f>
        <v>2230</v>
      </c>
      <c r="K27" s="18"/>
      <c r="L27" s="18"/>
      <c r="M27" s="18"/>
      <c r="N27" s="18"/>
      <c r="O27" s="18">
        <f>C17+C18+C19+C20+C21+C22</f>
        <v>500</v>
      </c>
      <c r="P27" s="18">
        <f>G27+O27</f>
        <v>4450</v>
      </c>
      <c r="Q27" s="18">
        <f>H27+O27</f>
        <v>3550</v>
      </c>
      <c r="R27" s="18">
        <f>I27+O27</f>
        <v>3100</v>
      </c>
      <c r="S27" s="18">
        <f>J27+O27</f>
        <v>2730</v>
      </c>
      <c r="T27" s="18"/>
    </row>
    <row r="28" spans="2:20" ht="15.75" x14ac:dyDescent="0.25">
      <c r="B28" s="58"/>
      <c r="C28" s="200"/>
      <c r="D28" s="58"/>
      <c r="E28" s="200"/>
      <c r="F28" s="58" t="s">
        <v>26</v>
      </c>
      <c r="G28" s="18">
        <f>((D9*G9)+(M9*P9))/2</f>
        <v>3950</v>
      </c>
      <c r="H28" s="18">
        <f>((D9*H9)+(M9*Q9))/3</f>
        <v>3050</v>
      </c>
      <c r="I28" s="18">
        <f>((D9*I9)+(M9*R9))/4</f>
        <v>2600</v>
      </c>
      <c r="J28" s="18">
        <f>((D9*J9)+(M9*S9))/5</f>
        <v>2330</v>
      </c>
      <c r="K28" s="18"/>
      <c r="L28" s="18"/>
      <c r="M28" s="18"/>
      <c r="N28" s="18"/>
      <c r="O28" s="18">
        <f>C17+C18+C19+C20+C21+C22</f>
        <v>500</v>
      </c>
      <c r="P28" s="18">
        <f>G28+O28</f>
        <v>4450</v>
      </c>
      <c r="Q28" s="18">
        <f>H28+O28</f>
        <v>3550</v>
      </c>
      <c r="R28" s="18">
        <f>I28+O28</f>
        <v>3100</v>
      </c>
      <c r="S28" s="18">
        <f>J28+O28</f>
        <v>2830</v>
      </c>
      <c r="T28" s="18"/>
    </row>
    <row r="29" spans="2:20" ht="15.75" x14ac:dyDescent="0.25">
      <c r="B29" s="58"/>
      <c r="C29" s="198"/>
      <c r="D29" s="58"/>
      <c r="E29" s="19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46"/>
      <c r="T29" s="20"/>
    </row>
    <row r="30" spans="2:20" ht="15.75" x14ac:dyDescent="0.25">
      <c r="B30" s="58"/>
      <c r="C30" s="200"/>
      <c r="D30" s="58"/>
      <c r="E30" s="200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46"/>
      <c r="T30" s="20"/>
    </row>
    <row r="31" spans="2:20" ht="15.75" x14ac:dyDescent="0.25">
      <c r="B31" s="58"/>
      <c r="C31" s="198"/>
      <c r="D31" s="58"/>
      <c r="E31" s="19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46"/>
      <c r="T31" s="20"/>
    </row>
    <row r="32" spans="2:20" ht="15.75" x14ac:dyDescent="0.25">
      <c r="B32" s="58"/>
      <c r="C32" s="200"/>
      <c r="D32" s="58"/>
      <c r="E32" s="200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46"/>
      <c r="T32" s="20"/>
    </row>
    <row r="33" spans="2:20" ht="18.75" x14ac:dyDescent="0.25">
      <c r="B33" s="58"/>
      <c r="C33" s="58"/>
      <c r="D33" s="58"/>
      <c r="E33" s="58"/>
      <c r="F33" s="58"/>
      <c r="G33" s="228" t="s">
        <v>18</v>
      </c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58"/>
      <c r="S33" s="46"/>
      <c r="T33" s="20"/>
    </row>
    <row r="34" spans="2:20" ht="15.75" x14ac:dyDescent="0.25">
      <c r="B34" s="58"/>
      <c r="C34" s="58"/>
      <c r="D34" s="58"/>
      <c r="E34" s="58"/>
      <c r="F34" s="58"/>
      <c r="G34" s="186" t="s">
        <v>18</v>
      </c>
      <c r="H34" s="186"/>
      <c r="I34" s="186"/>
      <c r="J34" s="58"/>
      <c r="K34" s="58"/>
      <c r="L34" s="58"/>
      <c r="M34" s="58"/>
      <c r="N34" s="58"/>
      <c r="O34" s="12"/>
      <c r="P34" s="186" t="s">
        <v>14</v>
      </c>
      <c r="Q34" s="186"/>
      <c r="R34" s="186"/>
      <c r="S34" s="46"/>
      <c r="T34" s="20"/>
    </row>
    <row r="35" spans="2:20" ht="31.5" x14ac:dyDescent="0.25">
      <c r="B35" s="58"/>
      <c r="C35" s="13"/>
      <c r="D35" s="13"/>
      <c r="E35" s="13"/>
      <c r="F35" s="13" t="s">
        <v>11</v>
      </c>
      <c r="G35" s="26" t="s">
        <v>2</v>
      </c>
      <c r="H35" s="26" t="s">
        <v>3</v>
      </c>
      <c r="I35" s="34" t="s">
        <v>4</v>
      </c>
      <c r="J35" s="34" t="s">
        <v>44</v>
      </c>
      <c r="K35" s="26"/>
      <c r="L35" s="26"/>
      <c r="M35" s="26"/>
      <c r="N35" s="26"/>
      <c r="O35" s="26" t="s">
        <v>15</v>
      </c>
      <c r="P35" s="26" t="s">
        <v>2</v>
      </c>
      <c r="Q35" s="26" t="s">
        <v>3</v>
      </c>
      <c r="R35" s="26" t="s">
        <v>4</v>
      </c>
      <c r="S35" s="34" t="s">
        <v>44</v>
      </c>
      <c r="T35" s="20"/>
    </row>
    <row r="36" spans="2:20" ht="15.75" x14ac:dyDescent="0.25">
      <c r="B36" s="58"/>
      <c r="C36" s="198"/>
      <c r="D36" s="58"/>
      <c r="E36" s="198"/>
      <c r="F36" s="58" t="s">
        <v>27</v>
      </c>
      <c r="G36" s="18">
        <f>((D9*G9)+(M9*P9))/2</f>
        <v>3950</v>
      </c>
      <c r="H36" s="18">
        <f>((D9*H9)+(M9*Q9))/3</f>
        <v>3050</v>
      </c>
      <c r="I36" s="18">
        <f>((D9*I9)+(M9*R9))/4</f>
        <v>2600</v>
      </c>
      <c r="J36" s="18">
        <f>((D9*J9)+(P9*S9))/5</f>
        <v>169730</v>
      </c>
      <c r="K36" s="24"/>
      <c r="L36" s="24"/>
      <c r="M36" s="24"/>
      <c r="N36" s="24"/>
      <c r="O36" s="18">
        <f>E17+E18+E19+E20+E21+E22</f>
        <v>0</v>
      </c>
      <c r="P36" s="18">
        <f>G36+O36</f>
        <v>3950</v>
      </c>
      <c r="Q36" s="18">
        <f>H36+O36</f>
        <v>3050</v>
      </c>
      <c r="R36" s="18">
        <f>I36+O36</f>
        <v>2600</v>
      </c>
      <c r="S36" s="18">
        <f>J36+O36</f>
        <v>169730</v>
      </c>
    </row>
    <row r="37" spans="2:20" ht="15.75" x14ac:dyDescent="0.25">
      <c r="B37" s="58"/>
      <c r="C37" s="200"/>
      <c r="D37" s="58"/>
      <c r="E37" s="200"/>
      <c r="F37" s="58" t="s">
        <v>26</v>
      </c>
      <c r="G37" s="18">
        <f>((D18*G18)+(M18*P18))/2</f>
        <v>0</v>
      </c>
      <c r="H37" s="18">
        <f>((D18*H18)+(M18*Q18))/3</f>
        <v>0</v>
      </c>
      <c r="I37" s="18">
        <f>((D18*I18)+(M18*R18))/4</f>
        <v>0</v>
      </c>
      <c r="J37" s="18">
        <f>((D18*J18)+(M18*S18))/5</f>
        <v>0</v>
      </c>
      <c r="K37" s="24"/>
      <c r="L37" s="24"/>
      <c r="M37" s="24"/>
      <c r="N37" s="24"/>
      <c r="O37" s="18">
        <f>C26+C27+C28+C29+C30+C31</f>
        <v>0</v>
      </c>
      <c r="P37" s="18">
        <f>G37+O37</f>
        <v>0</v>
      </c>
      <c r="Q37" s="18">
        <f>H37+O37</f>
        <v>0</v>
      </c>
      <c r="R37" s="18">
        <f>I37+O37</f>
        <v>0</v>
      </c>
      <c r="S37" s="18">
        <f>J37+O37</f>
        <v>0</v>
      </c>
    </row>
    <row r="38" spans="2:20" ht="15.75" x14ac:dyDescent="0.25">
      <c r="B38" s="58"/>
      <c r="C38" s="63"/>
      <c r="D38" s="58"/>
      <c r="E38" s="63"/>
      <c r="F38" s="58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58"/>
      <c r="S38" s="46"/>
    </row>
    <row r="39" spans="2:20" ht="15.75" x14ac:dyDescent="0.25">
      <c r="B39" s="58"/>
      <c r="C39" s="63"/>
      <c r="D39" s="58"/>
      <c r="E39" s="63"/>
      <c r="F39" s="58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58"/>
      <c r="S39" s="46"/>
    </row>
    <row r="40" spans="2:20" ht="15.75" x14ac:dyDescent="0.25">
      <c r="B40" s="58"/>
      <c r="C40" s="63"/>
      <c r="D40" s="58"/>
      <c r="E40" s="63"/>
      <c r="F40" s="58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58"/>
      <c r="S40" s="46"/>
    </row>
    <row r="41" spans="2:20" ht="15.75" x14ac:dyDescent="0.25">
      <c r="B41" s="58"/>
      <c r="C41" s="198"/>
      <c r="D41" s="58"/>
      <c r="E41" s="19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46"/>
    </row>
    <row r="42" spans="2:20" ht="18.75" x14ac:dyDescent="0.25">
      <c r="B42" s="58"/>
      <c r="C42" s="200"/>
      <c r="D42" s="58"/>
      <c r="E42" s="200"/>
      <c r="F42" s="58"/>
      <c r="G42" s="195" t="s">
        <v>32</v>
      </c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58"/>
      <c r="S42" s="46"/>
    </row>
    <row r="43" spans="2:20" ht="15.75" x14ac:dyDescent="0.25">
      <c r="B43" s="58"/>
      <c r="C43" s="198"/>
      <c r="D43" s="58"/>
      <c r="E43" s="198"/>
      <c r="F43" s="58"/>
      <c r="G43" s="186" t="s">
        <v>18</v>
      </c>
      <c r="H43" s="186"/>
      <c r="I43" s="186"/>
      <c r="J43" s="58"/>
      <c r="K43" s="58"/>
      <c r="L43" s="58"/>
      <c r="M43" s="58"/>
      <c r="N43" s="58"/>
      <c r="O43" s="12"/>
      <c r="P43" s="186" t="s">
        <v>14</v>
      </c>
      <c r="Q43" s="186"/>
      <c r="R43" s="186"/>
      <c r="S43" s="46"/>
    </row>
    <row r="44" spans="2:20" ht="15.75" x14ac:dyDescent="0.25">
      <c r="B44" s="58"/>
      <c r="C44" s="200"/>
      <c r="D44" s="58"/>
      <c r="E44" s="200"/>
      <c r="F44" s="13" t="s">
        <v>11</v>
      </c>
      <c r="G44" s="26" t="s">
        <v>2</v>
      </c>
      <c r="H44" s="26" t="s">
        <v>3</v>
      </c>
      <c r="I44" s="26" t="s">
        <v>4</v>
      </c>
      <c r="J44" s="26"/>
      <c r="K44" s="26"/>
      <c r="L44" s="26"/>
      <c r="M44" s="26"/>
      <c r="N44" s="26"/>
      <c r="O44" s="26" t="s">
        <v>15</v>
      </c>
      <c r="P44" s="26" t="s">
        <v>2</v>
      </c>
      <c r="Q44" s="26" t="s">
        <v>3</v>
      </c>
      <c r="R44" s="26" t="s">
        <v>4</v>
      </c>
      <c r="S44" s="47"/>
    </row>
    <row r="45" spans="2:20" ht="15.75" x14ac:dyDescent="0.25">
      <c r="B45" s="58"/>
      <c r="C45" s="57"/>
      <c r="D45" s="58"/>
      <c r="E45" s="57"/>
      <c r="F45" s="58" t="s">
        <v>27</v>
      </c>
      <c r="G45" s="24">
        <f>((D11*G11)+(M11*P11))/2</f>
        <v>0</v>
      </c>
      <c r="H45" s="24">
        <f>((D11*H11)+(M11*Q11))/3</f>
        <v>0</v>
      </c>
      <c r="I45" s="24">
        <f>((D11*I11)+(M11*R11))/4</f>
        <v>0</v>
      </c>
      <c r="J45" s="24"/>
      <c r="K45" s="24"/>
      <c r="L45" s="24"/>
      <c r="M45" s="24"/>
      <c r="N45" s="24"/>
      <c r="O45" s="24">
        <f>H17+G18+G19+G20+G21+G22</f>
        <v>0</v>
      </c>
      <c r="P45" s="24">
        <f>G45+O45</f>
        <v>0</v>
      </c>
      <c r="Q45" s="24">
        <f>H45+O45</f>
        <v>0</v>
      </c>
      <c r="R45" s="24">
        <f>I45+O45</f>
        <v>0</v>
      </c>
      <c r="S45" s="48"/>
    </row>
    <row r="46" spans="2:20" ht="15.75" x14ac:dyDescent="0.25">
      <c r="B46" s="58"/>
      <c r="C46" s="57"/>
      <c r="D46" s="58"/>
      <c r="E46" s="57"/>
      <c r="F46" s="58" t="s">
        <v>26</v>
      </c>
      <c r="G46" s="24">
        <f>((D11*G11)+(M11*P11))/2</f>
        <v>0</v>
      </c>
      <c r="H46" s="24">
        <f>((D11*H11)+(M11*Q11))/3</f>
        <v>0</v>
      </c>
      <c r="I46" s="24">
        <f>((D11*I11)+(M11*R11))/4</f>
        <v>0</v>
      </c>
      <c r="J46" s="24"/>
      <c r="K46" s="24"/>
      <c r="L46" s="24"/>
      <c r="M46" s="24"/>
      <c r="N46" s="24"/>
      <c r="O46" s="24">
        <f>G17+G18+G19+G20+G21+G22</f>
        <v>0</v>
      </c>
      <c r="P46" s="24">
        <f>G46+O46</f>
        <v>0</v>
      </c>
      <c r="Q46" s="24">
        <f>H46+O46</f>
        <v>0</v>
      </c>
      <c r="R46" s="24">
        <f>I46+O46</f>
        <v>0</v>
      </c>
      <c r="S46" s="48"/>
    </row>
    <row r="47" spans="2:20" ht="15.75" x14ac:dyDescent="0.25">
      <c r="B47" s="58"/>
      <c r="C47" s="57"/>
      <c r="D47" s="58"/>
      <c r="E47" s="57"/>
      <c r="F47" s="58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48"/>
    </row>
    <row r="48" spans="2:20" ht="15.75" x14ac:dyDescent="0.25">
      <c r="B48" s="58"/>
      <c r="C48" s="57"/>
      <c r="D48" s="58"/>
      <c r="E48" s="57"/>
      <c r="F48" s="5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48"/>
    </row>
    <row r="49" spans="2:19" ht="15.75" x14ac:dyDescent="0.25">
      <c r="B49" s="58"/>
      <c r="C49" s="57"/>
      <c r="D49" s="58"/>
      <c r="E49" s="57"/>
      <c r="F49" s="58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48"/>
    </row>
    <row r="50" spans="2:19" ht="15.75" x14ac:dyDescent="0.25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46"/>
    </row>
    <row r="51" spans="2:19" x14ac:dyDescent="0.25">
      <c r="B51" s="219" t="s">
        <v>36</v>
      </c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1"/>
      <c r="S51" s="49"/>
    </row>
    <row r="52" spans="2:19" x14ac:dyDescent="0.25">
      <c r="B52" s="222"/>
      <c r="C52" s="223"/>
      <c r="D52" s="223"/>
      <c r="E52" s="223"/>
      <c r="F52" s="223"/>
      <c r="G52" s="223"/>
      <c r="H52" s="223"/>
      <c r="I52" s="223"/>
      <c r="J52" s="223"/>
      <c r="K52" s="223"/>
      <c r="L52" s="223"/>
      <c r="M52" s="223"/>
      <c r="N52" s="223"/>
      <c r="O52" s="223"/>
      <c r="P52" s="223"/>
      <c r="Q52" s="223"/>
      <c r="R52" s="224"/>
      <c r="S52" s="49"/>
    </row>
    <row r="53" spans="2:19" x14ac:dyDescent="0.25">
      <c r="B53" s="222"/>
      <c r="C53" s="223"/>
      <c r="D53" s="223"/>
      <c r="E53" s="223"/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4"/>
      <c r="S53" s="49"/>
    </row>
    <row r="54" spans="2:19" x14ac:dyDescent="0.25">
      <c r="B54" s="222"/>
      <c r="C54" s="223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4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ht="55.15" customHeight="1" x14ac:dyDescent="0.25">
      <c r="B57" s="225"/>
      <c r="C57" s="226"/>
      <c r="D57" s="226"/>
      <c r="E57" s="226"/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7"/>
      <c r="S57" s="49"/>
    </row>
  </sheetData>
  <mergeCells count="53">
    <mergeCell ref="B51:R57"/>
    <mergeCell ref="C36:C37"/>
    <mergeCell ref="E36:E37"/>
    <mergeCell ref="C41:C42"/>
    <mergeCell ref="E41:E42"/>
    <mergeCell ref="G42:Q42"/>
    <mergeCell ref="C43:C44"/>
    <mergeCell ref="E43:E44"/>
    <mergeCell ref="G43:I43"/>
    <mergeCell ref="P43:R43"/>
    <mergeCell ref="P34:R34"/>
    <mergeCell ref="B23:R23"/>
    <mergeCell ref="G24:Q24"/>
    <mergeCell ref="G25:I25"/>
    <mergeCell ref="P25:R25"/>
    <mergeCell ref="C27:C28"/>
    <mergeCell ref="E27:E28"/>
    <mergeCell ref="C29:C30"/>
    <mergeCell ref="E29:E30"/>
    <mergeCell ref="C31:C32"/>
    <mergeCell ref="E31:E32"/>
    <mergeCell ref="G33:Q33"/>
    <mergeCell ref="B15:B17"/>
    <mergeCell ref="C15:D15"/>
    <mergeCell ref="E15:F15"/>
    <mergeCell ref="G15:H15"/>
    <mergeCell ref="G34:I34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4:T60"/>
  <sheetViews>
    <sheetView zoomScale="88" zoomScaleNormal="88" workbookViewId="0">
      <selection activeCell="P30" sqref="P30:R30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67" t="s">
        <v>21</v>
      </c>
      <c r="F8" s="67" t="s">
        <v>22</v>
      </c>
      <c r="G8" s="201"/>
      <c r="H8" s="201"/>
      <c r="I8" s="201"/>
      <c r="J8" s="230"/>
      <c r="K8" s="202"/>
      <c r="L8" s="218"/>
      <c r="M8" s="218"/>
      <c r="N8" s="70" t="s">
        <v>21</v>
      </c>
      <c r="O8" s="70" t="s">
        <v>22</v>
      </c>
      <c r="P8" s="218"/>
      <c r="Q8" s="218"/>
      <c r="R8" s="218"/>
      <c r="S8" s="232"/>
      <c r="T8" s="217"/>
    </row>
    <row r="9" spans="1:20" ht="31.5" x14ac:dyDescent="0.25">
      <c r="A9" s="15"/>
      <c r="B9" s="68" t="s">
        <v>5</v>
      </c>
      <c r="C9" s="69" t="s">
        <v>53</v>
      </c>
      <c r="D9" s="10">
        <v>4</v>
      </c>
      <c r="E9" s="3" t="s">
        <v>55</v>
      </c>
      <c r="F9" s="3">
        <v>45759</v>
      </c>
      <c r="G9" s="9">
        <v>520</v>
      </c>
      <c r="H9" s="9">
        <v>565</v>
      </c>
      <c r="I9" s="9">
        <v>610</v>
      </c>
      <c r="J9" s="9"/>
      <c r="K9" s="9" t="s">
        <v>29</v>
      </c>
      <c r="L9" s="10" t="s">
        <v>54</v>
      </c>
      <c r="M9" s="10">
        <v>5</v>
      </c>
      <c r="N9" s="3">
        <v>45759</v>
      </c>
      <c r="O9" s="3">
        <v>45912</v>
      </c>
      <c r="P9" s="9">
        <v>550</v>
      </c>
      <c r="Q9" s="9">
        <v>605</v>
      </c>
      <c r="R9" s="9">
        <v>660</v>
      </c>
      <c r="S9" s="9"/>
      <c r="T9" s="9" t="s">
        <v>29</v>
      </c>
    </row>
    <row r="10" spans="1:20" ht="15.6" customHeight="1" x14ac:dyDescent="0.25">
      <c r="A10" s="17"/>
      <c r="B10" s="68" t="s">
        <v>19</v>
      </c>
      <c r="C10" s="69" t="s">
        <v>31</v>
      </c>
      <c r="D10" s="10"/>
      <c r="E10" s="3"/>
      <c r="F10" s="3"/>
      <c r="G10" s="9"/>
      <c r="H10" s="9"/>
      <c r="I10" s="9"/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68" t="s">
        <v>32</v>
      </c>
      <c r="C11" s="69" t="s">
        <v>35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/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30</v>
      </c>
      <c r="D16" s="29"/>
      <c r="E16" s="25"/>
      <c r="F16" s="25"/>
      <c r="G16" s="18"/>
      <c r="H16" s="18"/>
      <c r="I16" s="19"/>
      <c r="J16" s="19"/>
      <c r="K16" s="19"/>
      <c r="L16" s="64"/>
      <c r="M16" s="64"/>
      <c r="N16" s="64"/>
      <c r="O16" s="64"/>
      <c r="P16" s="19"/>
      <c r="Q16" s="19"/>
      <c r="R16" s="19"/>
      <c r="S16" s="19"/>
      <c r="T16" s="16"/>
    </row>
    <row r="17" spans="2:20" ht="15.75" x14ac:dyDescent="0.25">
      <c r="B17" s="199"/>
      <c r="C17" s="30">
        <f>300/30</f>
        <v>10</v>
      </c>
      <c r="D17" s="30"/>
      <c r="E17" s="27"/>
      <c r="F17" s="27"/>
      <c r="G17" s="32"/>
      <c r="H17" s="32"/>
      <c r="I17" s="19"/>
      <c r="J17" s="19"/>
      <c r="K17" s="19"/>
      <c r="L17" s="64"/>
      <c r="M17" s="64"/>
      <c r="N17" s="64"/>
      <c r="O17" s="64"/>
      <c r="P17" s="19"/>
      <c r="Q17" s="19"/>
      <c r="R17" s="19"/>
      <c r="S17" s="19"/>
      <c r="T17" s="16"/>
    </row>
    <row r="18" spans="2:20" ht="15.75" x14ac:dyDescent="0.25">
      <c r="B18" s="199"/>
      <c r="C18" s="30">
        <v>250</v>
      </c>
      <c r="D18" s="30"/>
      <c r="E18" s="27"/>
      <c r="F18" s="27"/>
      <c r="G18" s="32"/>
      <c r="H18" s="32"/>
      <c r="I18" s="19"/>
      <c r="J18" s="19"/>
      <c r="K18" s="19"/>
      <c r="L18" s="64"/>
      <c r="M18" s="64"/>
      <c r="N18" s="64"/>
      <c r="O18" s="64"/>
      <c r="P18" s="19"/>
      <c r="Q18" s="19"/>
      <c r="R18" s="19"/>
      <c r="S18" s="19"/>
      <c r="T18" s="16"/>
    </row>
    <row r="19" spans="2:20" ht="15.75" x14ac:dyDescent="0.25">
      <c r="B19" s="199"/>
      <c r="C19" s="30">
        <f>1150/30</f>
        <v>38.333333333333336</v>
      </c>
      <c r="D19" s="30"/>
      <c r="E19" s="27"/>
      <c r="F19" s="27"/>
      <c r="G19" s="32"/>
      <c r="H19" s="32"/>
      <c r="I19" s="19"/>
      <c r="J19" s="19"/>
      <c r="K19" s="19"/>
      <c r="L19" s="64"/>
      <c r="M19" s="64"/>
      <c r="N19" s="64"/>
      <c r="O19" s="64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>
        <v>15</v>
      </c>
      <c r="D20" s="30"/>
      <c r="E20" s="27"/>
      <c r="F20" s="27"/>
      <c r="G20" s="32"/>
      <c r="H20" s="32"/>
      <c r="I20" s="19"/>
      <c r="J20" s="19"/>
      <c r="K20" s="19"/>
      <c r="L20" s="64"/>
      <c r="M20" s="64"/>
      <c r="N20" s="64"/>
      <c r="O20" s="64"/>
      <c r="P20" s="19"/>
      <c r="Q20" s="19"/>
      <c r="R20" s="19"/>
      <c r="S20" s="19"/>
      <c r="T20" s="16"/>
    </row>
    <row r="21" spans="2:20" ht="15.75" x14ac:dyDescent="0.25">
      <c r="B21" s="64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64" t="s">
        <v>30</v>
      </c>
      <c r="C22" s="31">
        <f>169*3.75</f>
        <v>633.75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64" t="s">
        <v>37</v>
      </c>
      <c r="C23" s="31">
        <f>50*3.75</f>
        <v>187.5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64" t="s">
        <v>57</v>
      </c>
      <c r="C24" s="31">
        <f>400/30</f>
        <v>13.333333333333334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64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64" t="s">
        <v>11</v>
      </c>
      <c r="C27" s="64"/>
      <c r="D27" s="64"/>
      <c r="E27" s="64"/>
      <c r="F27" s="64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64"/>
      <c r="K28" s="64"/>
      <c r="L28" s="64"/>
      <c r="M28" s="64"/>
      <c r="N28" s="64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64"/>
      <c r="C30" s="198"/>
      <c r="D30" s="64"/>
      <c r="E30" s="198"/>
      <c r="F30" s="64" t="s">
        <v>27</v>
      </c>
      <c r="G30" s="18">
        <f>((G9*D9)+(P9*M9))/2</f>
        <v>2415</v>
      </c>
      <c r="H30" s="18">
        <f>((D9*H9)+(M9*Q9))/3</f>
        <v>1761.6666666666667</v>
      </c>
      <c r="I30" s="18">
        <f>((D9*I9)+(M9*R9))/4</f>
        <v>1435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1147.9166666666665</v>
      </c>
      <c r="P30" s="18">
        <f>G30+O30</f>
        <v>3562.9166666666665</v>
      </c>
      <c r="Q30" s="18">
        <f>H30+O30</f>
        <v>2909.583333333333</v>
      </c>
      <c r="R30" s="18">
        <f>I30+O30</f>
        <v>2582.9166666666665</v>
      </c>
      <c r="S30" s="18">
        <f>J30+O30</f>
        <v>1147.9166666666665</v>
      </c>
      <c r="T30" s="18"/>
    </row>
    <row r="31" spans="2:20" ht="15.75" x14ac:dyDescent="0.25">
      <c r="B31" s="64"/>
      <c r="C31" s="200"/>
      <c r="D31" s="64"/>
      <c r="E31" s="200"/>
      <c r="F31" s="64" t="s">
        <v>26</v>
      </c>
      <c r="G31" s="18">
        <f>((D9*G9)+(M9*P9))/2</f>
        <v>2415</v>
      </c>
      <c r="H31" s="18">
        <f>((D9*H9)+(M9*Q9))/3</f>
        <v>1761.6666666666667</v>
      </c>
      <c r="I31" s="18">
        <f>((D9*I9)+(M9*R9))/4</f>
        <v>1435</v>
      </c>
      <c r="J31" s="18">
        <f>((D9*J9)+(M9*S9))/5</f>
        <v>0</v>
      </c>
      <c r="K31" s="18"/>
      <c r="L31" s="18"/>
      <c r="M31" s="18"/>
      <c r="N31" s="18"/>
      <c r="O31" s="18">
        <f>C17+C18+C19+C20+C21+C22+C23+C24+C25</f>
        <v>1147.9166666666665</v>
      </c>
      <c r="P31" s="18">
        <f>G31+O31</f>
        <v>3562.9166666666665</v>
      </c>
      <c r="Q31" s="18">
        <f>H31+O31</f>
        <v>2909.583333333333</v>
      </c>
      <c r="R31" s="18">
        <f>I31+O31</f>
        <v>2582.9166666666665</v>
      </c>
      <c r="S31" s="18">
        <f>J31+O31</f>
        <v>1147.9166666666665</v>
      </c>
      <c r="T31" s="18"/>
    </row>
    <row r="32" spans="2:20" ht="15.75" x14ac:dyDescent="0.25">
      <c r="B32" s="64"/>
      <c r="C32" s="198"/>
      <c r="D32" s="64"/>
      <c r="E32" s="198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46"/>
      <c r="T32" s="20"/>
    </row>
    <row r="33" spans="2:20" ht="15.75" x14ac:dyDescent="0.25">
      <c r="B33" s="64"/>
      <c r="C33" s="200"/>
      <c r="D33" s="64"/>
      <c r="E33" s="200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46"/>
      <c r="T33" s="20"/>
    </row>
    <row r="34" spans="2:20" ht="15.75" x14ac:dyDescent="0.25">
      <c r="B34" s="64"/>
      <c r="C34" s="198"/>
      <c r="D34" s="64"/>
      <c r="E34" s="198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46"/>
      <c r="T34" s="20"/>
    </row>
    <row r="35" spans="2:20" ht="15.75" x14ac:dyDescent="0.25">
      <c r="B35" s="64"/>
      <c r="C35" s="200"/>
      <c r="D35" s="64"/>
      <c r="E35" s="200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46"/>
      <c r="T35" s="20"/>
    </row>
    <row r="36" spans="2:20" ht="18.75" x14ac:dyDescent="0.25">
      <c r="B36" s="64"/>
      <c r="C36" s="64"/>
      <c r="D36" s="64"/>
      <c r="E36" s="64"/>
      <c r="F36" s="64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64"/>
      <c r="S36" s="46"/>
      <c r="T36" s="20"/>
    </row>
    <row r="37" spans="2:20" ht="15.75" x14ac:dyDescent="0.25">
      <c r="B37" s="64"/>
      <c r="C37" s="64"/>
      <c r="D37" s="64"/>
      <c r="E37" s="64"/>
      <c r="F37" s="64"/>
      <c r="G37" s="186" t="s">
        <v>18</v>
      </c>
      <c r="H37" s="186"/>
      <c r="I37" s="186"/>
      <c r="J37" s="64"/>
      <c r="K37" s="64"/>
      <c r="L37" s="64"/>
      <c r="M37" s="64"/>
      <c r="N37" s="64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64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64"/>
      <c r="C39" s="198"/>
      <c r="D39" s="64"/>
      <c r="E39" s="198"/>
      <c r="F39" s="64" t="s">
        <v>27</v>
      </c>
      <c r="G39" s="18">
        <f>((D9*G9)+(M9*P9))/2</f>
        <v>2415</v>
      </c>
      <c r="H39" s="18">
        <f>((D9*H9)+(M9*Q9))/3</f>
        <v>1761.6666666666667</v>
      </c>
      <c r="I39" s="18">
        <f>((D9*I9)+(M9*R9))/4</f>
        <v>1435</v>
      </c>
      <c r="J39" s="18">
        <f>((D9*J9)+(P9*S9))/5</f>
        <v>0</v>
      </c>
      <c r="K39" s="24"/>
      <c r="L39" s="24"/>
      <c r="M39" s="24"/>
      <c r="N39" s="24"/>
      <c r="O39" s="18">
        <f>E17+E21+E22+E23+E24+E25</f>
        <v>0</v>
      </c>
      <c r="P39" s="18">
        <f>G39+O39</f>
        <v>2415</v>
      </c>
      <c r="Q39" s="18">
        <f>H39+O39</f>
        <v>1761.6666666666667</v>
      </c>
      <c r="R39" s="18">
        <f>I39+O39</f>
        <v>1435</v>
      </c>
      <c r="S39" s="18">
        <f>J39+O39</f>
        <v>0</v>
      </c>
    </row>
    <row r="40" spans="2:20" ht="15.75" x14ac:dyDescent="0.25">
      <c r="B40" s="64"/>
      <c r="C40" s="200"/>
      <c r="D40" s="64"/>
      <c r="E40" s="200"/>
      <c r="F40" s="64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64"/>
      <c r="C41" s="65"/>
      <c r="D41" s="64"/>
      <c r="E41" s="65"/>
      <c r="F41" s="64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64"/>
      <c r="S41" s="46"/>
    </row>
    <row r="42" spans="2:20" ht="15.75" x14ac:dyDescent="0.25">
      <c r="B42" s="64"/>
      <c r="C42" s="65"/>
      <c r="D42" s="64"/>
      <c r="E42" s="65"/>
      <c r="F42" s="6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64"/>
      <c r="S42" s="46"/>
    </row>
    <row r="43" spans="2:20" ht="15.75" x14ac:dyDescent="0.25">
      <c r="B43" s="64"/>
      <c r="C43" s="65"/>
      <c r="D43" s="64"/>
      <c r="E43" s="65"/>
      <c r="F43" s="6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64"/>
      <c r="S43" s="46"/>
    </row>
    <row r="44" spans="2:20" ht="15.75" x14ac:dyDescent="0.25">
      <c r="B44" s="64"/>
      <c r="C44" s="198"/>
      <c r="D44" s="64"/>
      <c r="E44" s="198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46"/>
    </row>
    <row r="45" spans="2:20" ht="18.75" x14ac:dyDescent="0.25">
      <c r="B45" s="64"/>
      <c r="C45" s="200"/>
      <c r="D45" s="64"/>
      <c r="E45" s="200"/>
      <c r="F45" s="64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64"/>
      <c r="S45" s="46"/>
    </row>
    <row r="46" spans="2:20" ht="15.75" x14ac:dyDescent="0.25">
      <c r="B46" s="64"/>
      <c r="C46" s="198"/>
      <c r="D46" s="64"/>
      <c r="E46" s="198"/>
      <c r="F46" s="64"/>
      <c r="G46" s="186" t="s">
        <v>18</v>
      </c>
      <c r="H46" s="186"/>
      <c r="I46" s="186"/>
      <c r="J46" s="64"/>
      <c r="K46" s="64"/>
      <c r="L46" s="64"/>
      <c r="M46" s="64"/>
      <c r="N46" s="64"/>
      <c r="O46" s="12"/>
      <c r="P46" s="186" t="s">
        <v>14</v>
      </c>
      <c r="Q46" s="186"/>
      <c r="R46" s="186"/>
      <c r="S46" s="46"/>
    </row>
    <row r="47" spans="2:20" ht="15.75" x14ac:dyDescent="0.25">
      <c r="B47" s="64"/>
      <c r="C47" s="200"/>
      <c r="D47" s="64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64"/>
      <c r="C48" s="66"/>
      <c r="D48" s="64"/>
      <c r="E48" s="66"/>
      <c r="F48" s="64" t="s">
        <v>27</v>
      </c>
      <c r="G48" s="24">
        <f>((D11*G11)+(M11*P11))/2</f>
        <v>0</v>
      </c>
      <c r="H48" s="24">
        <f>((D11*H11)+(M11*Q11))/3</f>
        <v>0</v>
      </c>
      <c r="I48" s="24">
        <f>((D11*I11)+(M11*R11))/4</f>
        <v>0</v>
      </c>
      <c r="J48" s="24"/>
      <c r="K48" s="24"/>
      <c r="L48" s="24"/>
      <c r="M48" s="24"/>
      <c r="N48" s="24"/>
      <c r="O48" s="24">
        <f>H17+G21+G22+G23+G24+G25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64"/>
      <c r="C49" s="66"/>
      <c r="D49" s="64"/>
      <c r="E49" s="66"/>
      <c r="F49" s="64" t="s">
        <v>26</v>
      </c>
      <c r="G49" s="24">
        <f>((D11*G11)+(M11*P11))/2</f>
        <v>0</v>
      </c>
      <c r="H49" s="24">
        <f>((D11*H11)+(M11*Q11))/3</f>
        <v>0</v>
      </c>
      <c r="I49" s="24">
        <f>((D11*I11)+(M11*R11))/4</f>
        <v>0</v>
      </c>
      <c r="J49" s="24"/>
      <c r="K49" s="24"/>
      <c r="L49" s="24"/>
      <c r="M49" s="24"/>
      <c r="N49" s="24"/>
      <c r="O49" s="24">
        <f>G17+G21+G22+G23+G24+G25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64"/>
      <c r="C50" s="66"/>
      <c r="D50" s="64"/>
      <c r="E50" s="66"/>
      <c r="F50" s="6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64"/>
      <c r="C51" s="66"/>
      <c r="D51" s="64"/>
      <c r="E51" s="66"/>
      <c r="F51" s="6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64"/>
      <c r="C52" s="66"/>
      <c r="D52" s="64"/>
      <c r="E52" s="66"/>
      <c r="F52" s="6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15:B19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B12:B13"/>
    <mergeCell ref="C12:C13"/>
    <mergeCell ref="R7:R8"/>
    <mergeCell ref="S7:S8"/>
    <mergeCell ref="T7:T8"/>
    <mergeCell ref="C14:D14"/>
    <mergeCell ref="E14:F14"/>
    <mergeCell ref="G14:H14"/>
    <mergeCell ref="I7:I8"/>
    <mergeCell ref="J7:J8"/>
    <mergeCell ref="K7:K8"/>
    <mergeCell ref="P7:P8"/>
    <mergeCell ref="Q7:Q8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T60"/>
  <sheetViews>
    <sheetView topLeftCell="A4" zoomScale="88" zoomScaleNormal="88" workbookViewId="0">
      <selection activeCell="O24" sqref="O24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74" t="s">
        <v>21</v>
      </c>
      <c r="F8" s="74" t="s">
        <v>22</v>
      </c>
      <c r="G8" s="201"/>
      <c r="H8" s="201"/>
      <c r="I8" s="201"/>
      <c r="J8" s="230"/>
      <c r="K8" s="202"/>
      <c r="L8" s="218"/>
      <c r="M8" s="218"/>
      <c r="N8" s="77" t="s">
        <v>21</v>
      </c>
      <c r="O8" s="77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75" t="s">
        <v>5</v>
      </c>
      <c r="C9" s="76" t="s">
        <v>35</v>
      </c>
      <c r="D9" s="10">
        <v>8</v>
      </c>
      <c r="E9" s="3" t="s">
        <v>58</v>
      </c>
      <c r="F9" s="3" t="s">
        <v>59</v>
      </c>
      <c r="G9" s="9">
        <v>540</v>
      </c>
      <c r="H9" s="9">
        <v>585</v>
      </c>
      <c r="I9" s="9">
        <v>630</v>
      </c>
      <c r="J9" s="9">
        <v>675</v>
      </c>
      <c r="K9" s="9" t="s">
        <v>29</v>
      </c>
      <c r="L9" s="10" t="s">
        <v>54</v>
      </c>
      <c r="M9" s="10">
        <v>5</v>
      </c>
      <c r="N9" s="3">
        <v>45759</v>
      </c>
      <c r="O9" s="3">
        <v>45912</v>
      </c>
      <c r="P9" s="9"/>
      <c r="Q9" s="9"/>
      <c r="R9" s="9"/>
      <c r="S9" s="9"/>
      <c r="T9" s="9" t="s">
        <v>29</v>
      </c>
    </row>
    <row r="10" spans="1:20" ht="15.6" customHeight="1" x14ac:dyDescent="0.25">
      <c r="A10" s="17"/>
      <c r="B10" s="75" t="s">
        <v>19</v>
      </c>
      <c r="C10" s="76" t="s">
        <v>35</v>
      </c>
      <c r="D10" s="10">
        <v>4</v>
      </c>
      <c r="E10" s="3" t="s">
        <v>60</v>
      </c>
      <c r="F10" s="3" t="s">
        <v>59</v>
      </c>
      <c r="G10" s="9">
        <v>540</v>
      </c>
      <c r="H10" s="9">
        <v>585</v>
      </c>
      <c r="I10" s="9">
        <v>630</v>
      </c>
      <c r="J10" s="9">
        <v>675</v>
      </c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75" t="s">
        <v>32</v>
      </c>
      <c r="C11" s="76" t="s">
        <v>31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2</v>
      </c>
      <c r="D16" s="29">
        <v>5</v>
      </c>
      <c r="E16" s="25"/>
      <c r="F16" s="25"/>
      <c r="G16" s="18"/>
      <c r="H16" s="18"/>
      <c r="I16" s="19"/>
      <c r="J16" s="19"/>
      <c r="K16" s="19"/>
      <c r="L16" s="71"/>
      <c r="M16" s="71"/>
      <c r="N16" s="71"/>
      <c r="O16" s="71"/>
      <c r="P16" s="19"/>
      <c r="Q16" s="19"/>
      <c r="R16" s="19"/>
      <c r="S16" s="19"/>
      <c r="T16" s="16"/>
    </row>
    <row r="17" spans="2:20" ht="15.75" x14ac:dyDescent="0.25">
      <c r="B17" s="199"/>
      <c r="C17" s="30">
        <f>344*3.75</f>
        <v>1290</v>
      </c>
      <c r="D17" s="30">
        <f>225*3.75</f>
        <v>843.75</v>
      </c>
      <c r="E17" s="27"/>
      <c r="F17" s="27"/>
      <c r="G17" s="32"/>
      <c r="H17" s="32"/>
      <c r="I17" s="19"/>
      <c r="J17" s="19"/>
      <c r="K17" s="19"/>
      <c r="L17" s="71"/>
      <c r="M17" s="71"/>
      <c r="N17" s="71"/>
      <c r="O17" s="71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71"/>
      <c r="M18" s="71"/>
      <c r="N18" s="71"/>
      <c r="O18" s="71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71"/>
      <c r="M19" s="71"/>
      <c r="N19" s="71"/>
      <c r="O19" s="71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71"/>
      <c r="M20" s="71"/>
      <c r="N20" s="71"/>
      <c r="O20" s="71"/>
      <c r="P20" s="19"/>
      <c r="Q20" s="19"/>
      <c r="R20" s="19"/>
      <c r="S20" s="19"/>
      <c r="T20" s="16"/>
    </row>
    <row r="21" spans="2:20" ht="15.75" x14ac:dyDescent="0.25">
      <c r="B21" s="71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71" t="s">
        <v>30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71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71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71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71" t="s">
        <v>11</v>
      </c>
      <c r="C27" s="71"/>
      <c r="D27" s="71"/>
      <c r="E27" s="71"/>
      <c r="F27" s="71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71"/>
      <c r="K28" s="71"/>
      <c r="L28" s="71"/>
      <c r="M28" s="71"/>
      <c r="N28" s="71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71"/>
      <c r="C30" s="198"/>
      <c r="D30" s="71"/>
      <c r="E30" s="198"/>
      <c r="F30" s="71" t="s">
        <v>61</v>
      </c>
      <c r="G30" s="18">
        <f>((G9*D9)+(P9*M9))/2</f>
        <v>2160</v>
      </c>
      <c r="H30" s="18">
        <f>((D9*H9)+(M9*Q9))/3</f>
        <v>1560</v>
      </c>
      <c r="I30" s="18">
        <f>((D9*I9)+(M9*R9))/4</f>
        <v>1260</v>
      </c>
      <c r="J30" s="18">
        <f>((D9*J9)+(M9*S9))/5</f>
        <v>1080</v>
      </c>
      <c r="K30" s="18"/>
      <c r="L30" s="18"/>
      <c r="M30" s="18"/>
      <c r="N30" s="18"/>
      <c r="O30" s="18">
        <f>C17+C18+C19+C20+C21+C22+C23+C24+C25</f>
        <v>1290</v>
      </c>
      <c r="P30" s="18">
        <f>G30+O30</f>
        <v>3450</v>
      </c>
      <c r="Q30" s="18">
        <f>H30+O30</f>
        <v>2850</v>
      </c>
      <c r="R30" s="18">
        <f>I30+O30</f>
        <v>2550</v>
      </c>
      <c r="S30" s="18">
        <f>J30+O30</f>
        <v>2370</v>
      </c>
      <c r="T30" s="18"/>
    </row>
    <row r="31" spans="2:20" ht="15.75" x14ac:dyDescent="0.25">
      <c r="B31" s="71"/>
      <c r="C31" s="200"/>
      <c r="D31" s="71"/>
      <c r="E31" s="200"/>
      <c r="F31" s="71" t="s">
        <v>62</v>
      </c>
      <c r="G31" s="18">
        <f>((D9*G9)+(M9*P9))/2</f>
        <v>2160</v>
      </c>
      <c r="H31" s="18">
        <f>((D9*H9)+(M9*Q9))/3</f>
        <v>1560</v>
      </c>
      <c r="I31" s="18">
        <f>((D9*I9)+(M9*R9))/4</f>
        <v>1260</v>
      </c>
      <c r="J31" s="18">
        <f>((D9*J9)+(M9*S9))/5</f>
        <v>1080</v>
      </c>
      <c r="K31" s="18"/>
      <c r="L31" s="18"/>
      <c r="M31" s="18"/>
      <c r="N31" s="18"/>
      <c r="O31" s="18">
        <f>D17+C18+C19+C20+C21+C22+C23+C24+C25</f>
        <v>843.75</v>
      </c>
      <c r="P31" s="18">
        <f>G31+O31</f>
        <v>3003.75</v>
      </c>
      <c r="Q31" s="18">
        <f>H31+O31</f>
        <v>2403.75</v>
      </c>
      <c r="R31" s="18">
        <f>I31+O31</f>
        <v>2103.75</v>
      </c>
      <c r="S31" s="18">
        <f>J31+O31</f>
        <v>1923.75</v>
      </c>
      <c r="T31" s="18"/>
    </row>
    <row r="32" spans="2:20" ht="15.75" x14ac:dyDescent="0.25">
      <c r="B32" s="71"/>
      <c r="C32" s="198"/>
      <c r="D32" s="71"/>
      <c r="E32" s="198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46"/>
      <c r="T32" s="20"/>
    </row>
    <row r="33" spans="2:20" ht="15.75" x14ac:dyDescent="0.25">
      <c r="B33" s="71"/>
      <c r="C33" s="200"/>
      <c r="D33" s="71"/>
      <c r="E33" s="200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46"/>
      <c r="T33" s="20"/>
    </row>
    <row r="34" spans="2:20" ht="15.75" x14ac:dyDescent="0.25">
      <c r="B34" s="71"/>
      <c r="C34" s="198"/>
      <c r="D34" s="71"/>
      <c r="E34" s="198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46"/>
      <c r="T34" s="20"/>
    </row>
    <row r="35" spans="2:20" ht="15.75" x14ac:dyDescent="0.25">
      <c r="B35" s="71"/>
      <c r="C35" s="200"/>
      <c r="D35" s="71"/>
      <c r="E35" s="200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46"/>
      <c r="T35" s="20"/>
    </row>
    <row r="36" spans="2:20" ht="18.75" x14ac:dyDescent="0.25">
      <c r="B36" s="71"/>
      <c r="C36" s="71"/>
      <c r="D36" s="71"/>
      <c r="E36" s="71"/>
      <c r="F36" s="71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71"/>
      <c r="S36" s="46"/>
      <c r="T36" s="20"/>
    </row>
    <row r="37" spans="2:20" ht="15.75" x14ac:dyDescent="0.25">
      <c r="B37" s="71"/>
      <c r="C37" s="71"/>
      <c r="D37" s="71"/>
      <c r="E37" s="71"/>
      <c r="F37" s="71"/>
      <c r="G37" s="186" t="s">
        <v>18</v>
      </c>
      <c r="H37" s="186"/>
      <c r="I37" s="186"/>
      <c r="J37" s="71"/>
      <c r="K37" s="71"/>
      <c r="L37" s="71"/>
      <c r="M37" s="71"/>
      <c r="N37" s="71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71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71"/>
      <c r="C39" s="198"/>
      <c r="D39" s="71"/>
      <c r="E39" s="198"/>
      <c r="F39" s="71" t="s">
        <v>27</v>
      </c>
      <c r="G39" s="18">
        <f>((D9*G9)+(M9*P9))/2</f>
        <v>2160</v>
      </c>
      <c r="H39" s="18">
        <f>((D9*H9)+(M9*Q9))/3</f>
        <v>1560</v>
      </c>
      <c r="I39" s="18">
        <f>((D9*I9)+(M9*R9))/4</f>
        <v>1260</v>
      </c>
      <c r="J39" s="18">
        <f>((D9*J9)+(P9*S9))/5</f>
        <v>1080</v>
      </c>
      <c r="K39" s="24"/>
      <c r="L39" s="24"/>
      <c r="M39" s="24"/>
      <c r="N39" s="24"/>
      <c r="O39" s="18">
        <f>E17+E21+E22+E23+E24+E25</f>
        <v>0</v>
      </c>
      <c r="P39" s="18">
        <f>G39+O39</f>
        <v>2160</v>
      </c>
      <c r="Q39" s="18">
        <f>H39+O39</f>
        <v>1560</v>
      </c>
      <c r="R39" s="18">
        <f>I39+O39</f>
        <v>1260</v>
      </c>
      <c r="S39" s="18">
        <f>J39+O39</f>
        <v>1080</v>
      </c>
    </row>
    <row r="40" spans="2:20" ht="15.75" x14ac:dyDescent="0.25">
      <c r="B40" s="71"/>
      <c r="C40" s="200"/>
      <c r="D40" s="71"/>
      <c r="E40" s="200"/>
      <c r="F40" s="71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71"/>
      <c r="C41" s="72"/>
      <c r="D41" s="71"/>
      <c r="E41" s="72"/>
      <c r="F41" s="7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71"/>
      <c r="S41" s="46"/>
    </row>
    <row r="42" spans="2:20" ht="15.75" x14ac:dyDescent="0.25">
      <c r="B42" s="71"/>
      <c r="C42" s="72"/>
      <c r="D42" s="71"/>
      <c r="E42" s="72"/>
      <c r="F42" s="7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71"/>
      <c r="S42" s="46"/>
    </row>
    <row r="43" spans="2:20" ht="15.75" x14ac:dyDescent="0.25">
      <c r="B43" s="71"/>
      <c r="C43" s="72"/>
      <c r="D43" s="71"/>
      <c r="E43" s="72"/>
      <c r="F43" s="7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71"/>
      <c r="S43" s="46"/>
    </row>
    <row r="44" spans="2:20" ht="15.75" x14ac:dyDescent="0.25">
      <c r="B44" s="71"/>
      <c r="C44" s="198"/>
      <c r="D44" s="71"/>
      <c r="E44" s="198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46"/>
    </row>
    <row r="45" spans="2:20" ht="18.75" x14ac:dyDescent="0.25">
      <c r="B45" s="71"/>
      <c r="C45" s="200"/>
      <c r="D45" s="71"/>
      <c r="E45" s="200"/>
      <c r="F45" s="71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71"/>
      <c r="S45" s="46"/>
    </row>
    <row r="46" spans="2:20" ht="15.75" x14ac:dyDescent="0.25">
      <c r="B46" s="71"/>
      <c r="C46" s="198"/>
      <c r="D46" s="71"/>
      <c r="E46" s="198"/>
      <c r="F46" s="71"/>
      <c r="G46" s="186" t="s">
        <v>18</v>
      </c>
      <c r="H46" s="186"/>
      <c r="I46" s="186"/>
      <c r="J46" s="71"/>
      <c r="K46" s="71"/>
      <c r="L46" s="71"/>
      <c r="M46" s="71"/>
      <c r="N46" s="71"/>
      <c r="O46" s="12"/>
      <c r="P46" s="186" t="s">
        <v>14</v>
      </c>
      <c r="Q46" s="186"/>
      <c r="R46" s="186"/>
      <c r="S46" s="46"/>
    </row>
    <row r="47" spans="2:20" ht="15.75" x14ac:dyDescent="0.25">
      <c r="B47" s="71"/>
      <c r="C47" s="200"/>
      <c r="D47" s="71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71"/>
      <c r="C48" s="73"/>
      <c r="D48" s="71"/>
      <c r="E48" s="73"/>
      <c r="F48" s="71" t="s">
        <v>27</v>
      </c>
      <c r="G48" s="24">
        <f>((D11*G11)+(M11*P11))/2</f>
        <v>0</v>
      </c>
      <c r="H48" s="24">
        <f>((D11*H11)+(M11*Q11))/3</f>
        <v>0</v>
      </c>
      <c r="I48" s="24">
        <f>((D11*I11)+(M11*R11))/4</f>
        <v>0</v>
      </c>
      <c r="J48" s="24"/>
      <c r="K48" s="24"/>
      <c r="L48" s="24"/>
      <c r="M48" s="24"/>
      <c r="N48" s="24"/>
      <c r="O48" s="24">
        <f>H17+G21+G22+G23+G24+G25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71"/>
      <c r="C49" s="73"/>
      <c r="D49" s="71"/>
      <c r="E49" s="73"/>
      <c r="F49" s="71" t="s">
        <v>26</v>
      </c>
      <c r="G49" s="24">
        <f>((D11*G11)+(M11*P11))/2</f>
        <v>0</v>
      </c>
      <c r="H49" s="24">
        <f>((D11*H11)+(M11*Q11))/3</f>
        <v>0</v>
      </c>
      <c r="I49" s="24">
        <f>((D11*I11)+(M11*R11))/4</f>
        <v>0</v>
      </c>
      <c r="J49" s="24"/>
      <c r="K49" s="24"/>
      <c r="L49" s="24"/>
      <c r="M49" s="24"/>
      <c r="N49" s="24"/>
      <c r="O49" s="24">
        <f>G17+G21+G22+G23+G24+G25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71"/>
      <c r="C50" s="73"/>
      <c r="D50" s="71"/>
      <c r="E50" s="73"/>
      <c r="F50" s="71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71"/>
      <c r="C51" s="73"/>
      <c r="D51" s="71"/>
      <c r="E51" s="73"/>
      <c r="F51" s="71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71"/>
      <c r="C52" s="73"/>
      <c r="D52" s="71"/>
      <c r="E52" s="73"/>
      <c r="F52" s="71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T60"/>
  <sheetViews>
    <sheetView topLeftCell="A4" zoomScale="88" zoomScaleNormal="88" workbookViewId="0">
      <selection activeCell="K19" sqref="K19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82" t="s">
        <v>21</v>
      </c>
      <c r="F8" s="82" t="s">
        <v>22</v>
      </c>
      <c r="G8" s="201"/>
      <c r="H8" s="201"/>
      <c r="I8" s="201"/>
      <c r="J8" s="230"/>
      <c r="K8" s="202"/>
      <c r="L8" s="218"/>
      <c r="M8" s="218"/>
      <c r="N8" s="85" t="s">
        <v>21</v>
      </c>
      <c r="O8" s="85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83" t="s">
        <v>5</v>
      </c>
      <c r="C9" s="84" t="s">
        <v>35</v>
      </c>
      <c r="D9" s="10">
        <v>3</v>
      </c>
      <c r="E9" s="3" t="s">
        <v>63</v>
      </c>
      <c r="F9" s="3" t="s">
        <v>64</v>
      </c>
      <c r="G9" s="9">
        <v>430</v>
      </c>
      <c r="H9" s="9">
        <v>475</v>
      </c>
      <c r="I9" s="9">
        <v>520</v>
      </c>
      <c r="J9" s="9"/>
      <c r="K9" s="9" t="s">
        <v>29</v>
      </c>
      <c r="L9" s="10" t="s">
        <v>54</v>
      </c>
      <c r="M9" s="10">
        <v>5</v>
      </c>
      <c r="N9" s="3">
        <v>45759</v>
      </c>
      <c r="O9" s="3">
        <v>45912</v>
      </c>
      <c r="P9" s="9"/>
      <c r="Q9" s="9"/>
      <c r="R9" s="9"/>
      <c r="S9" s="9"/>
      <c r="T9" s="9" t="s">
        <v>29</v>
      </c>
    </row>
    <row r="10" spans="1:20" ht="15.6" customHeight="1" x14ac:dyDescent="0.25">
      <c r="A10" s="17"/>
      <c r="B10" s="83" t="s">
        <v>19</v>
      </c>
      <c r="C10" s="89" t="s">
        <v>35</v>
      </c>
      <c r="D10" s="10">
        <v>3</v>
      </c>
      <c r="E10" s="3" t="s">
        <v>63</v>
      </c>
      <c r="F10" s="3" t="s">
        <v>64</v>
      </c>
      <c r="G10" s="9">
        <v>430</v>
      </c>
      <c r="H10" s="9">
        <v>475</v>
      </c>
      <c r="I10" s="9">
        <v>520</v>
      </c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83" t="s">
        <v>32</v>
      </c>
      <c r="C11" s="84" t="s">
        <v>31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28</v>
      </c>
      <c r="D15" s="192"/>
      <c r="E15" s="191" t="s">
        <v>28</v>
      </c>
      <c r="F15" s="192"/>
      <c r="G15" s="191" t="s">
        <v>28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/>
      <c r="F16" s="25"/>
      <c r="G16" s="18"/>
      <c r="H16" s="18"/>
      <c r="I16" s="19"/>
      <c r="J16" s="19"/>
      <c r="K16" s="19"/>
      <c r="L16" s="79"/>
      <c r="M16" s="79"/>
      <c r="N16" s="79"/>
      <c r="O16" s="79"/>
      <c r="P16" s="19"/>
      <c r="Q16" s="19"/>
      <c r="R16" s="19"/>
      <c r="S16" s="19"/>
      <c r="T16" s="16"/>
    </row>
    <row r="17" spans="2:20" ht="15.75" x14ac:dyDescent="0.25">
      <c r="B17" s="199"/>
      <c r="C17" s="30">
        <f>205*3.75</f>
        <v>768.75</v>
      </c>
      <c r="D17" s="30"/>
      <c r="E17" s="27">
        <v>269</v>
      </c>
      <c r="F17" s="27"/>
      <c r="G17" s="32"/>
      <c r="H17" s="32"/>
      <c r="I17" s="19"/>
      <c r="J17" s="19"/>
      <c r="K17" s="19"/>
      <c r="L17" s="79"/>
      <c r="M17" s="79"/>
      <c r="N17" s="79"/>
      <c r="O17" s="79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79"/>
      <c r="M18" s="79"/>
      <c r="N18" s="79"/>
      <c r="O18" s="79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79"/>
      <c r="M19" s="79"/>
      <c r="N19" s="79"/>
      <c r="O19" s="79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79"/>
      <c r="M20" s="79"/>
      <c r="N20" s="79"/>
      <c r="O20" s="79"/>
      <c r="P20" s="19"/>
      <c r="Q20" s="19"/>
      <c r="R20" s="19"/>
      <c r="S20" s="19"/>
      <c r="T20" s="16"/>
    </row>
    <row r="21" spans="2:20" ht="15.75" x14ac:dyDescent="0.25">
      <c r="B21" s="79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79" t="s">
        <v>30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79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79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79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79" t="s">
        <v>11</v>
      </c>
      <c r="C27" s="79"/>
      <c r="D27" s="79"/>
      <c r="E27" s="79"/>
      <c r="F27" s="79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79"/>
      <c r="K28" s="79"/>
      <c r="L28" s="79"/>
      <c r="M28" s="79"/>
      <c r="N28" s="79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79"/>
      <c r="C30" s="198"/>
      <c r="D30" s="79"/>
      <c r="E30" s="198"/>
      <c r="F30" s="79" t="s">
        <v>65</v>
      </c>
      <c r="G30" s="18">
        <f>((G9*D9)+(P9*M9))/2</f>
        <v>645</v>
      </c>
      <c r="H30" s="18">
        <f>((D9*H9)+(M9*Q9))/3</f>
        <v>475</v>
      </c>
      <c r="I30" s="18">
        <f>((D9*I9)+(M9*R9))/4</f>
        <v>390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768.75</v>
      </c>
      <c r="P30" s="18">
        <f>G30+O30</f>
        <v>1413.75</v>
      </c>
      <c r="Q30" s="18">
        <f>H30+O30</f>
        <v>1243.75</v>
      </c>
      <c r="R30" s="18">
        <f>I30+O30</f>
        <v>1158.75</v>
      </c>
      <c r="S30" s="18">
        <f>J30+O30</f>
        <v>768.75</v>
      </c>
      <c r="T30" s="18"/>
    </row>
    <row r="31" spans="2:20" ht="15.75" x14ac:dyDescent="0.25">
      <c r="B31" s="79"/>
      <c r="C31" s="200"/>
      <c r="D31" s="79"/>
      <c r="E31" s="200"/>
      <c r="F31" s="79" t="s">
        <v>62</v>
      </c>
      <c r="G31" s="18">
        <f>((D9*G9)+(M9*P9))/2</f>
        <v>645</v>
      </c>
      <c r="H31" s="18">
        <f>((D9*H9)+(M9*Q9))/3</f>
        <v>475</v>
      </c>
      <c r="I31" s="18">
        <f>((D9*I9)+(M9*R9))/4</f>
        <v>390</v>
      </c>
      <c r="J31" s="18">
        <f>((D9*J9)+(M9*S9))/5</f>
        <v>0</v>
      </c>
      <c r="K31" s="18"/>
      <c r="L31" s="18"/>
      <c r="M31" s="18"/>
      <c r="N31" s="18"/>
      <c r="O31" s="18">
        <f>SUM(E16:E25)</f>
        <v>269</v>
      </c>
      <c r="P31" s="18">
        <f>G31+O31</f>
        <v>914</v>
      </c>
      <c r="Q31" s="18">
        <f>H31+O31</f>
        <v>744</v>
      </c>
      <c r="R31" s="18">
        <f>I31+O31</f>
        <v>659</v>
      </c>
      <c r="S31" s="18">
        <f>J31+O31</f>
        <v>269</v>
      </c>
      <c r="T31" s="18"/>
    </row>
    <row r="32" spans="2:20" ht="15.75" x14ac:dyDescent="0.25">
      <c r="B32" s="79"/>
      <c r="C32" s="198"/>
      <c r="D32" s="79"/>
      <c r="E32" s="198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46"/>
      <c r="T32" s="20"/>
    </row>
    <row r="33" spans="2:20" ht="15.75" x14ac:dyDescent="0.25">
      <c r="B33" s="79"/>
      <c r="C33" s="200"/>
      <c r="D33" s="79"/>
      <c r="E33" s="200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46"/>
      <c r="T33" s="20"/>
    </row>
    <row r="34" spans="2:20" ht="15.75" x14ac:dyDescent="0.25">
      <c r="B34" s="79"/>
      <c r="C34" s="198"/>
      <c r="D34" s="79"/>
      <c r="E34" s="19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46"/>
      <c r="T34" s="20"/>
    </row>
    <row r="35" spans="2:20" ht="15.75" x14ac:dyDescent="0.25">
      <c r="B35" s="79"/>
      <c r="C35" s="200"/>
      <c r="D35" s="79"/>
      <c r="E35" s="200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46"/>
      <c r="T35" s="20"/>
    </row>
    <row r="36" spans="2:20" ht="18.75" x14ac:dyDescent="0.25">
      <c r="B36" s="79"/>
      <c r="C36" s="79"/>
      <c r="D36" s="79"/>
      <c r="E36" s="79"/>
      <c r="F36" s="79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79"/>
      <c r="S36" s="46"/>
      <c r="T36" s="20"/>
    </row>
    <row r="37" spans="2:20" ht="15.75" x14ac:dyDescent="0.25">
      <c r="B37" s="79"/>
      <c r="C37" s="79"/>
      <c r="D37" s="79"/>
      <c r="E37" s="79"/>
      <c r="F37" s="79"/>
      <c r="G37" s="186" t="s">
        <v>18</v>
      </c>
      <c r="H37" s="186"/>
      <c r="I37" s="186"/>
      <c r="J37" s="79"/>
      <c r="K37" s="79"/>
      <c r="L37" s="79"/>
      <c r="M37" s="79"/>
      <c r="N37" s="79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79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79"/>
      <c r="C39" s="198"/>
      <c r="D39" s="79"/>
      <c r="E39" s="198"/>
      <c r="F39" s="79" t="s">
        <v>27</v>
      </c>
      <c r="G39" s="18">
        <f>((D9*G9)+(M9*P9))/2</f>
        <v>645</v>
      </c>
      <c r="H39" s="18">
        <f>((D9*H9)+(M9*Q9))/3</f>
        <v>475</v>
      </c>
      <c r="I39" s="18">
        <f>((D9*I9)+(M9*R9))/4</f>
        <v>390</v>
      </c>
      <c r="J39" s="18">
        <f>((D9*J9)+(P9*S9))/5</f>
        <v>0</v>
      </c>
      <c r="K39" s="24"/>
      <c r="L39" s="24"/>
      <c r="M39" s="24"/>
      <c r="N39" s="24"/>
      <c r="O39" s="18">
        <f>E17+E21+E22+E23+E24+E25</f>
        <v>269</v>
      </c>
      <c r="P39" s="18">
        <f>G39+O39</f>
        <v>914</v>
      </c>
      <c r="Q39" s="18">
        <f>H39+O39</f>
        <v>744</v>
      </c>
      <c r="R39" s="18">
        <f>I39+O39</f>
        <v>659</v>
      </c>
      <c r="S39" s="18">
        <f>J39+O39</f>
        <v>269</v>
      </c>
    </row>
    <row r="40" spans="2:20" ht="15.75" x14ac:dyDescent="0.25">
      <c r="B40" s="79"/>
      <c r="C40" s="200"/>
      <c r="D40" s="79"/>
      <c r="E40" s="200"/>
      <c r="F40" s="79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79"/>
      <c r="C41" s="80"/>
      <c r="D41" s="79"/>
      <c r="E41" s="80"/>
      <c r="F41" s="79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79"/>
      <c r="S41" s="46"/>
    </row>
    <row r="42" spans="2:20" ht="15.75" x14ac:dyDescent="0.25">
      <c r="B42" s="79"/>
      <c r="C42" s="80"/>
      <c r="D42" s="79"/>
      <c r="E42" s="80"/>
      <c r="F42" s="79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79"/>
      <c r="S42" s="46"/>
    </row>
    <row r="43" spans="2:20" ht="15.75" x14ac:dyDescent="0.25">
      <c r="B43" s="79"/>
      <c r="C43" s="80"/>
      <c r="D43" s="79"/>
      <c r="E43" s="80"/>
      <c r="F43" s="79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79"/>
      <c r="S43" s="46"/>
    </row>
    <row r="44" spans="2:20" ht="15.75" x14ac:dyDescent="0.25">
      <c r="B44" s="79"/>
      <c r="C44" s="198"/>
      <c r="D44" s="79"/>
      <c r="E44" s="198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46"/>
    </row>
    <row r="45" spans="2:20" ht="18.75" x14ac:dyDescent="0.25">
      <c r="B45" s="79"/>
      <c r="C45" s="200"/>
      <c r="D45" s="79"/>
      <c r="E45" s="200"/>
      <c r="F45" s="79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79"/>
      <c r="S45" s="46"/>
    </row>
    <row r="46" spans="2:20" ht="15.75" x14ac:dyDescent="0.25">
      <c r="B46" s="79"/>
      <c r="C46" s="198"/>
      <c r="D46" s="79"/>
      <c r="E46" s="198"/>
      <c r="F46" s="79"/>
      <c r="G46" s="186" t="s">
        <v>18</v>
      </c>
      <c r="H46" s="186"/>
      <c r="I46" s="186"/>
      <c r="J46" s="79"/>
      <c r="K46" s="79"/>
      <c r="L46" s="79"/>
      <c r="M46" s="79"/>
      <c r="N46" s="79"/>
      <c r="O46" s="12"/>
      <c r="P46" s="186" t="s">
        <v>14</v>
      </c>
      <c r="Q46" s="186"/>
      <c r="R46" s="186"/>
      <c r="S46" s="46"/>
    </row>
    <row r="47" spans="2:20" ht="15.75" x14ac:dyDescent="0.25">
      <c r="B47" s="79"/>
      <c r="C47" s="200"/>
      <c r="D47" s="79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79"/>
      <c r="C48" s="81"/>
      <c r="D48" s="79"/>
      <c r="E48" s="81"/>
      <c r="F48" s="79" t="s">
        <v>27</v>
      </c>
      <c r="G48" s="24">
        <f>((D11*G11)+(M11*P11))/2</f>
        <v>0</v>
      </c>
      <c r="H48" s="24">
        <f>((D11*H11)+(M11*Q11))/3</f>
        <v>0</v>
      </c>
      <c r="I48" s="24">
        <f>((D11*I11)+(M11*R11))/4</f>
        <v>0</v>
      </c>
      <c r="J48" s="24"/>
      <c r="K48" s="24"/>
      <c r="L48" s="24"/>
      <c r="M48" s="24"/>
      <c r="N48" s="24"/>
      <c r="O48" s="24">
        <f>H17+G21+G22+G23+G24+G25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79"/>
      <c r="C49" s="81"/>
      <c r="D49" s="79"/>
      <c r="E49" s="81"/>
      <c r="F49" s="79" t="s">
        <v>26</v>
      </c>
      <c r="G49" s="24">
        <f>((D11*G11)+(M11*P11))/2</f>
        <v>0</v>
      </c>
      <c r="H49" s="24">
        <f>((D11*H11)+(M11*Q11))/3</f>
        <v>0</v>
      </c>
      <c r="I49" s="24">
        <f>((D11*I11)+(M11*R11))/4</f>
        <v>0</v>
      </c>
      <c r="J49" s="24"/>
      <c r="K49" s="24"/>
      <c r="L49" s="24"/>
      <c r="M49" s="24"/>
      <c r="N49" s="24"/>
      <c r="O49" s="24">
        <f>G17+G21+G22+G23+G24+G25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79"/>
      <c r="C50" s="81"/>
      <c r="D50" s="79"/>
      <c r="E50" s="81"/>
      <c r="F50" s="79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79"/>
      <c r="C51" s="81"/>
      <c r="D51" s="79"/>
      <c r="E51" s="81"/>
      <c r="F51" s="79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79"/>
      <c r="C52" s="81"/>
      <c r="D52" s="79"/>
      <c r="E52" s="81"/>
      <c r="F52" s="79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T60"/>
  <sheetViews>
    <sheetView zoomScale="88" zoomScaleNormal="88" workbookViewId="0">
      <selection sqref="A1:XFD1048576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91" t="s">
        <v>21</v>
      </c>
      <c r="F8" s="91" t="s">
        <v>22</v>
      </c>
      <c r="G8" s="201"/>
      <c r="H8" s="201"/>
      <c r="I8" s="201"/>
      <c r="J8" s="230"/>
      <c r="K8" s="202"/>
      <c r="L8" s="218"/>
      <c r="M8" s="218"/>
      <c r="N8" s="90" t="s">
        <v>21</v>
      </c>
      <c r="O8" s="90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88" t="s">
        <v>5</v>
      </c>
      <c r="C9" s="89" t="s">
        <v>66</v>
      </c>
      <c r="D9" s="10">
        <v>3</v>
      </c>
      <c r="E9" s="3" t="s">
        <v>71</v>
      </c>
      <c r="F9" s="3" t="s">
        <v>73</v>
      </c>
      <c r="G9" s="9">
        <v>690</v>
      </c>
      <c r="H9" s="9">
        <v>735</v>
      </c>
      <c r="I9" s="9">
        <v>780</v>
      </c>
      <c r="J9" s="9"/>
      <c r="K9" s="9" t="s">
        <v>29</v>
      </c>
      <c r="L9" s="10" t="s">
        <v>67</v>
      </c>
      <c r="M9" s="10">
        <v>5</v>
      </c>
      <c r="N9" s="3" t="s">
        <v>73</v>
      </c>
      <c r="O9" s="3" t="s">
        <v>72</v>
      </c>
      <c r="P9" s="9">
        <v>1450</v>
      </c>
      <c r="Q9" s="9">
        <v>1600</v>
      </c>
      <c r="R9" s="9">
        <v>1750</v>
      </c>
      <c r="S9" s="9"/>
      <c r="T9" s="9" t="s">
        <v>29</v>
      </c>
    </row>
    <row r="10" spans="1:20" ht="15.6" customHeight="1" x14ac:dyDescent="0.25">
      <c r="A10" s="17"/>
      <c r="B10" s="88" t="s">
        <v>19</v>
      </c>
      <c r="C10" s="89" t="s">
        <v>35</v>
      </c>
      <c r="D10" s="10"/>
      <c r="E10" s="3"/>
      <c r="F10" s="3"/>
      <c r="G10" s="9"/>
      <c r="H10" s="9"/>
      <c r="I10" s="9"/>
      <c r="J10" s="9"/>
      <c r="K10" s="9"/>
      <c r="L10" s="10" t="s">
        <v>41</v>
      </c>
      <c r="M10" s="10">
        <v>4</v>
      </c>
      <c r="N10" s="3"/>
      <c r="O10" s="3"/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88" t="s">
        <v>32</v>
      </c>
      <c r="C11" s="89" t="s">
        <v>31</v>
      </c>
      <c r="D11" s="10"/>
      <c r="E11" s="3"/>
      <c r="F11" s="3"/>
      <c r="G11" s="9"/>
      <c r="H11" s="9"/>
      <c r="I11" s="9"/>
      <c r="J11" s="9"/>
      <c r="K11" s="9"/>
      <c r="L11" s="10" t="s">
        <v>42</v>
      </c>
      <c r="M11" s="10">
        <v>4</v>
      </c>
      <c r="N11" s="3"/>
      <c r="O11" s="3"/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87"/>
      <c r="M16" s="87"/>
      <c r="N16" s="87"/>
      <c r="O16" s="87"/>
      <c r="P16" s="19"/>
      <c r="Q16" s="19"/>
      <c r="R16" s="19"/>
      <c r="S16" s="19"/>
      <c r="T16" s="16"/>
    </row>
    <row r="17" spans="2:20" ht="15.75" x14ac:dyDescent="0.25">
      <c r="B17" s="199"/>
      <c r="C17" s="30">
        <f>205*3.75</f>
        <v>768.75</v>
      </c>
      <c r="D17" s="30"/>
      <c r="E17" s="27">
        <f>203*3.75</f>
        <v>761.25</v>
      </c>
      <c r="F17" s="27"/>
      <c r="G17" s="32"/>
      <c r="H17" s="32"/>
      <c r="I17" s="19"/>
      <c r="J17" s="19"/>
      <c r="K17" s="19"/>
      <c r="L17" s="87"/>
      <c r="M17" s="87"/>
      <c r="N17" s="87"/>
      <c r="O17" s="87"/>
      <c r="P17" s="19"/>
      <c r="Q17" s="19"/>
      <c r="R17" s="19"/>
      <c r="S17" s="19"/>
      <c r="T17" s="16"/>
    </row>
    <row r="18" spans="2:20" ht="15.75" x14ac:dyDescent="0.25">
      <c r="B18" s="199"/>
      <c r="C18" s="30">
        <v>300</v>
      </c>
      <c r="D18" s="30"/>
      <c r="E18" s="27">
        <v>400</v>
      </c>
      <c r="F18" s="27"/>
      <c r="G18" s="32"/>
      <c r="H18" s="32"/>
      <c r="I18" s="19"/>
      <c r="J18" s="19"/>
      <c r="K18" s="19"/>
      <c r="L18" s="87"/>
      <c r="M18" s="87"/>
      <c r="N18" s="87"/>
      <c r="O18" s="87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87"/>
      <c r="M19" s="87"/>
      <c r="N19" s="87"/>
      <c r="O19" s="87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87"/>
      <c r="M20" s="87"/>
      <c r="N20" s="87"/>
      <c r="O20" s="87"/>
      <c r="P20" s="19"/>
      <c r="Q20" s="19"/>
      <c r="R20" s="19"/>
      <c r="S20" s="19"/>
      <c r="T20" s="16"/>
    </row>
    <row r="21" spans="2:20" ht="15.75" x14ac:dyDescent="0.25">
      <c r="B21" s="87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87" t="s">
        <v>30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87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87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87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87" t="s">
        <v>11</v>
      </c>
      <c r="C27" s="87"/>
      <c r="D27" s="87"/>
      <c r="E27" s="87"/>
      <c r="F27" s="87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87"/>
      <c r="K28" s="87"/>
      <c r="L28" s="87"/>
      <c r="M28" s="87"/>
      <c r="N28" s="87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87"/>
      <c r="C30" s="198"/>
      <c r="D30" s="87"/>
      <c r="E30" s="198"/>
      <c r="F30" s="87" t="s">
        <v>65</v>
      </c>
      <c r="G30" s="18">
        <f>((G9*D9)+(P9*M9))/2</f>
        <v>4660</v>
      </c>
      <c r="H30" s="18">
        <f>((D9*H9)+(M9*Q9))/3</f>
        <v>3401.6666666666665</v>
      </c>
      <c r="I30" s="18">
        <f>((D9*I9)+(M9*R9))/4</f>
        <v>2772.5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1068.75</v>
      </c>
      <c r="P30" s="18">
        <f>G30+O30</f>
        <v>5728.75</v>
      </c>
      <c r="Q30" s="18">
        <f>H30+O30</f>
        <v>4470.4166666666661</v>
      </c>
      <c r="R30" s="18">
        <f>I30+O30</f>
        <v>3841.25</v>
      </c>
      <c r="S30" s="18">
        <f>J30+O30</f>
        <v>1068.75</v>
      </c>
      <c r="T30" s="18"/>
    </row>
    <row r="31" spans="2:20" ht="15.75" x14ac:dyDescent="0.25">
      <c r="B31" s="87"/>
      <c r="C31" s="200"/>
      <c r="D31" s="87"/>
      <c r="E31" s="200"/>
      <c r="F31" s="8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87"/>
      <c r="C32" s="198"/>
      <c r="D32" s="87"/>
      <c r="E32" s="198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46"/>
      <c r="T32" s="20"/>
    </row>
    <row r="33" spans="2:20" ht="15.75" x14ac:dyDescent="0.25">
      <c r="B33" s="87"/>
      <c r="C33" s="200"/>
      <c r="D33" s="87"/>
      <c r="E33" s="200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46"/>
      <c r="T33" s="20"/>
    </row>
    <row r="34" spans="2:20" ht="15.75" x14ac:dyDescent="0.25">
      <c r="B34" s="87"/>
      <c r="C34" s="198"/>
      <c r="D34" s="87"/>
      <c r="E34" s="198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46"/>
      <c r="T34" s="20"/>
    </row>
    <row r="35" spans="2:20" ht="15.75" x14ac:dyDescent="0.25">
      <c r="B35" s="87"/>
      <c r="C35" s="200"/>
      <c r="D35" s="87"/>
      <c r="E35" s="200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46"/>
      <c r="T35" s="20"/>
    </row>
    <row r="36" spans="2:20" ht="18.75" x14ac:dyDescent="0.25">
      <c r="B36" s="87"/>
      <c r="C36" s="87"/>
      <c r="D36" s="87"/>
      <c r="E36" s="87"/>
      <c r="F36" s="87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87"/>
      <c r="S36" s="46"/>
      <c r="T36" s="20"/>
    </row>
    <row r="37" spans="2:20" ht="15.75" x14ac:dyDescent="0.25">
      <c r="B37" s="87"/>
      <c r="C37" s="87"/>
      <c r="D37" s="87"/>
      <c r="E37" s="87"/>
      <c r="F37" s="87"/>
      <c r="G37" s="186" t="s">
        <v>18</v>
      </c>
      <c r="H37" s="186"/>
      <c r="I37" s="186"/>
      <c r="J37" s="87"/>
      <c r="K37" s="87"/>
      <c r="L37" s="87"/>
      <c r="M37" s="87"/>
      <c r="N37" s="87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87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87"/>
      <c r="C39" s="198"/>
      <c r="D39" s="87"/>
      <c r="E39" s="198"/>
      <c r="F39" s="87" t="s">
        <v>27</v>
      </c>
      <c r="G39" s="18">
        <f>((D9*G9)+(M9*P9))/2</f>
        <v>4660</v>
      </c>
      <c r="H39" s="18">
        <f>((D9*H9)+(M9*Q9))/3</f>
        <v>3401.6666666666665</v>
      </c>
      <c r="I39" s="18">
        <f>((D9*I9)+(M9*R9))/4</f>
        <v>2772.5</v>
      </c>
      <c r="J39" s="18">
        <f>((D9*J9)+(P9*S9))/5</f>
        <v>0</v>
      </c>
      <c r="K39" s="24"/>
      <c r="L39" s="24"/>
      <c r="M39" s="24"/>
      <c r="N39" s="24"/>
      <c r="O39" s="18">
        <f>SUM(E17:E25)</f>
        <v>1161.25</v>
      </c>
      <c r="P39" s="18">
        <f>G39+O39</f>
        <v>5821.25</v>
      </c>
      <c r="Q39" s="18">
        <f>H39+O39</f>
        <v>4562.9166666666661</v>
      </c>
      <c r="R39" s="18">
        <f>I39+O39</f>
        <v>3933.75</v>
      </c>
      <c r="S39" s="18">
        <f>J39+O39</f>
        <v>1161.25</v>
      </c>
    </row>
    <row r="40" spans="2:20" ht="15.75" x14ac:dyDescent="0.25">
      <c r="B40" s="87"/>
      <c r="C40" s="200"/>
      <c r="D40" s="87"/>
      <c r="E40" s="200"/>
      <c r="F40" s="87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87"/>
      <c r="C41" s="92"/>
      <c r="D41" s="87"/>
      <c r="E41" s="92"/>
      <c r="F41" s="87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87"/>
      <c r="S41" s="46"/>
    </row>
    <row r="42" spans="2:20" ht="15.75" x14ac:dyDescent="0.25">
      <c r="B42" s="87"/>
      <c r="C42" s="92"/>
      <c r="D42" s="87"/>
      <c r="E42" s="92"/>
      <c r="F42" s="87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87"/>
      <c r="S42" s="46"/>
    </row>
    <row r="43" spans="2:20" ht="15.75" x14ac:dyDescent="0.25">
      <c r="B43" s="87"/>
      <c r="C43" s="92"/>
      <c r="D43" s="87"/>
      <c r="E43" s="92"/>
      <c r="F43" s="87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87"/>
      <c r="S43" s="46"/>
    </row>
    <row r="44" spans="2:20" ht="15.75" x14ac:dyDescent="0.25">
      <c r="B44" s="87"/>
      <c r="C44" s="198"/>
      <c r="D44" s="87"/>
      <c r="E44" s="198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46"/>
    </row>
    <row r="45" spans="2:20" ht="18.75" x14ac:dyDescent="0.25">
      <c r="B45" s="87"/>
      <c r="C45" s="200"/>
      <c r="D45" s="87"/>
      <c r="E45" s="200"/>
      <c r="F45" s="87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87"/>
      <c r="S45" s="46"/>
    </row>
    <row r="46" spans="2:20" ht="15.75" x14ac:dyDescent="0.25">
      <c r="B46" s="87"/>
      <c r="C46" s="198"/>
      <c r="D46" s="87"/>
      <c r="E46" s="198"/>
      <c r="F46" s="87"/>
      <c r="G46" s="186" t="s">
        <v>18</v>
      </c>
      <c r="H46" s="186"/>
      <c r="I46" s="186"/>
      <c r="J46" s="87"/>
      <c r="K46" s="87"/>
      <c r="L46" s="87"/>
      <c r="M46" s="87"/>
      <c r="N46" s="87"/>
      <c r="O46" s="12"/>
      <c r="P46" s="186" t="s">
        <v>14</v>
      </c>
      <c r="Q46" s="186"/>
      <c r="R46" s="186"/>
      <c r="S46" s="46"/>
    </row>
    <row r="47" spans="2:20" ht="15.75" x14ac:dyDescent="0.25">
      <c r="B47" s="87"/>
      <c r="C47" s="200"/>
      <c r="D47" s="87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87"/>
      <c r="C48" s="86"/>
      <c r="D48" s="87"/>
      <c r="E48" s="86"/>
      <c r="F48" s="87" t="s">
        <v>27</v>
      </c>
      <c r="G48" s="18">
        <f>((D9*G9)+(M9*P9))/2</f>
        <v>4660</v>
      </c>
      <c r="H48" s="18">
        <f>((D9*H9)+(M9*Q9))/3</f>
        <v>3401.6666666666665</v>
      </c>
      <c r="I48" s="18">
        <f>((D9*I9)+(M9*R9))/4</f>
        <v>2772.5</v>
      </c>
      <c r="J48" s="24"/>
      <c r="K48" s="24"/>
      <c r="L48" s="24"/>
      <c r="M48" s="24"/>
      <c r="N48" s="24"/>
      <c r="O48" s="24">
        <f>H17+G21+G22+G23+G24+G25</f>
        <v>0</v>
      </c>
      <c r="P48" s="24">
        <f>G48+O48</f>
        <v>4660</v>
      </c>
      <c r="Q48" s="24">
        <f>H48+O48</f>
        <v>3401.6666666666665</v>
      </c>
      <c r="R48" s="24">
        <f>I48+O48</f>
        <v>2772.5</v>
      </c>
      <c r="S48" s="48"/>
    </row>
    <row r="49" spans="2:19" ht="15.75" x14ac:dyDescent="0.25">
      <c r="B49" s="87"/>
      <c r="C49" s="86"/>
      <c r="D49" s="87"/>
      <c r="E49" s="86"/>
      <c r="F49" s="87" t="s">
        <v>26</v>
      </c>
      <c r="G49" s="24">
        <f>((D11*G11)+(M11*P11))/2</f>
        <v>0</v>
      </c>
      <c r="H49" s="24">
        <f>((D11*H11)+(M11*Q11))/3</f>
        <v>0</v>
      </c>
      <c r="I49" s="24">
        <f>((D11*I11)+(M11*R11))/4</f>
        <v>0</v>
      </c>
      <c r="J49" s="24"/>
      <c r="K49" s="24"/>
      <c r="L49" s="24"/>
      <c r="M49" s="24"/>
      <c r="N49" s="24"/>
      <c r="O49" s="24">
        <f>G17+G21+G22+G23+G24+G25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87"/>
      <c r="C50" s="86"/>
      <c r="D50" s="87"/>
      <c r="E50" s="86"/>
      <c r="F50" s="87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87"/>
      <c r="C51" s="86"/>
      <c r="D51" s="87"/>
      <c r="E51" s="86"/>
      <c r="F51" s="87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87"/>
      <c r="C52" s="86"/>
      <c r="D52" s="87"/>
      <c r="E52" s="86"/>
      <c r="F52" s="87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15:B19"/>
    <mergeCell ref="C15:D15"/>
    <mergeCell ref="E15:F15"/>
    <mergeCell ref="G15:H15"/>
    <mergeCell ref="G37:I37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T60"/>
  <sheetViews>
    <sheetView topLeftCell="A11" zoomScale="88" zoomScaleNormal="88" workbookViewId="0">
      <selection activeCell="U49" sqref="U49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96" t="s">
        <v>21</v>
      </c>
      <c r="F8" s="96" t="s">
        <v>22</v>
      </c>
      <c r="G8" s="201"/>
      <c r="H8" s="201"/>
      <c r="I8" s="201"/>
      <c r="J8" s="230"/>
      <c r="K8" s="202"/>
      <c r="L8" s="218"/>
      <c r="M8" s="218"/>
      <c r="N8" s="99" t="s">
        <v>21</v>
      </c>
      <c r="O8" s="99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97" t="s">
        <v>5</v>
      </c>
      <c r="C9" s="98" t="s">
        <v>42</v>
      </c>
      <c r="D9" s="10">
        <v>5</v>
      </c>
      <c r="E9" s="3">
        <v>45789</v>
      </c>
      <c r="F9" s="3">
        <v>45942</v>
      </c>
      <c r="G9" s="9">
        <v>520</v>
      </c>
      <c r="H9" s="9">
        <v>565</v>
      </c>
      <c r="I9" s="9">
        <v>610</v>
      </c>
      <c r="J9" s="9"/>
      <c r="K9" s="9" t="s">
        <v>29</v>
      </c>
      <c r="L9" s="10" t="s">
        <v>75</v>
      </c>
      <c r="M9" s="10">
        <v>5</v>
      </c>
      <c r="N9" s="3">
        <v>45942</v>
      </c>
      <c r="O9" s="3" t="s">
        <v>74</v>
      </c>
      <c r="P9" s="9">
        <v>500</v>
      </c>
      <c r="Q9" s="9">
        <v>545</v>
      </c>
      <c r="R9" s="9">
        <v>590</v>
      </c>
      <c r="S9" s="9"/>
      <c r="T9" s="9" t="s">
        <v>29</v>
      </c>
    </row>
    <row r="10" spans="1:20" ht="15.6" customHeight="1" x14ac:dyDescent="0.25">
      <c r="A10" s="17"/>
      <c r="B10" s="97" t="s">
        <v>19</v>
      </c>
      <c r="C10" s="98" t="s">
        <v>76</v>
      </c>
      <c r="D10" s="10">
        <v>5</v>
      </c>
      <c r="E10" s="3">
        <v>45789</v>
      </c>
      <c r="F10" s="3">
        <v>45942</v>
      </c>
      <c r="G10" s="9">
        <v>950</v>
      </c>
      <c r="H10" s="9">
        <v>1100</v>
      </c>
      <c r="I10" s="9">
        <v>1250</v>
      </c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>
        <v>1100</v>
      </c>
      <c r="Q10" s="9">
        <v>1350</v>
      </c>
      <c r="R10" s="9">
        <v>1500</v>
      </c>
      <c r="S10" s="9"/>
      <c r="T10" s="9" t="s">
        <v>29</v>
      </c>
    </row>
    <row r="11" spans="1:20" ht="15.75" x14ac:dyDescent="0.25">
      <c r="A11" s="17"/>
      <c r="B11" s="97" t="s">
        <v>32</v>
      </c>
      <c r="C11" s="98" t="s">
        <v>76</v>
      </c>
      <c r="D11" s="10">
        <v>5</v>
      </c>
      <c r="E11" s="3">
        <v>45789</v>
      </c>
      <c r="F11" s="3">
        <v>45942</v>
      </c>
      <c r="G11" s="9">
        <v>950</v>
      </c>
      <c r="H11" s="9">
        <v>1100</v>
      </c>
      <c r="I11" s="9">
        <v>1250</v>
      </c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>
        <v>1750</v>
      </c>
      <c r="Q11" s="9">
        <v>1970</v>
      </c>
      <c r="R11" s="9">
        <v>2190</v>
      </c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93"/>
      <c r="M16" s="93"/>
      <c r="N16" s="93"/>
      <c r="O16" s="93"/>
      <c r="P16" s="19"/>
      <c r="Q16" s="19"/>
      <c r="R16" s="19"/>
      <c r="S16" s="19"/>
      <c r="T16" s="16"/>
    </row>
    <row r="17" spans="2:20" ht="15.75" x14ac:dyDescent="0.25">
      <c r="B17" s="199"/>
      <c r="C17" s="30">
        <v>500</v>
      </c>
      <c r="D17" s="30"/>
      <c r="E17" s="27">
        <v>500</v>
      </c>
      <c r="F17" s="27"/>
      <c r="G17" s="32">
        <v>500</v>
      </c>
      <c r="H17" s="32"/>
      <c r="I17" s="19"/>
      <c r="J17" s="19"/>
      <c r="K17" s="19"/>
      <c r="L17" s="93"/>
      <c r="M17" s="93"/>
      <c r="N17" s="93"/>
      <c r="O17" s="93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93"/>
      <c r="M18" s="93"/>
      <c r="N18" s="93"/>
      <c r="O18" s="93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93"/>
      <c r="M19" s="93"/>
      <c r="N19" s="93"/>
      <c r="O19" s="93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93"/>
      <c r="M20" s="93"/>
      <c r="N20" s="93"/>
      <c r="O20" s="93"/>
      <c r="P20" s="19"/>
      <c r="Q20" s="19"/>
      <c r="R20" s="19"/>
      <c r="S20" s="19"/>
      <c r="T20" s="16"/>
    </row>
    <row r="21" spans="2:20" ht="15.75" x14ac:dyDescent="0.25">
      <c r="B21" s="93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93" t="s">
        <v>30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93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93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93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93" t="s">
        <v>11</v>
      </c>
      <c r="C27" s="93"/>
      <c r="D27" s="93"/>
      <c r="E27" s="93"/>
      <c r="F27" s="93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93"/>
      <c r="K28" s="93"/>
      <c r="L28" s="93"/>
      <c r="M28" s="93"/>
      <c r="N28" s="93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93"/>
      <c r="C30" s="198"/>
      <c r="D30" s="93"/>
      <c r="E30" s="198"/>
      <c r="F30" s="93" t="s">
        <v>65</v>
      </c>
      <c r="G30" s="18">
        <f>((G9*D9)+(P9*M9))/2</f>
        <v>2550</v>
      </c>
      <c r="H30" s="18">
        <f>((D9*H9)+(M9*Q9))/3</f>
        <v>1850</v>
      </c>
      <c r="I30" s="18">
        <f>((D9*I9)+(M9*R9))/4</f>
        <v>1500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500</v>
      </c>
      <c r="P30" s="18">
        <f>G30+O30</f>
        <v>3050</v>
      </c>
      <c r="Q30" s="18">
        <f>H30+O30</f>
        <v>2350</v>
      </c>
      <c r="R30" s="18">
        <f>I30+O30</f>
        <v>2000</v>
      </c>
      <c r="S30" s="18">
        <f>J30+O30</f>
        <v>500</v>
      </c>
      <c r="T30" s="18"/>
    </row>
    <row r="31" spans="2:20" ht="15.75" x14ac:dyDescent="0.25">
      <c r="B31" s="93"/>
      <c r="C31" s="200"/>
      <c r="D31" s="93"/>
      <c r="E31" s="200"/>
      <c r="F31" s="93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93"/>
      <c r="C32" s="198"/>
      <c r="D32" s="93"/>
      <c r="E32" s="198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46"/>
      <c r="T32" s="20"/>
    </row>
    <row r="33" spans="2:20" ht="15.75" x14ac:dyDescent="0.25">
      <c r="B33" s="93"/>
      <c r="C33" s="200"/>
      <c r="D33" s="93"/>
      <c r="E33" s="200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46"/>
      <c r="T33" s="20"/>
    </row>
    <row r="34" spans="2:20" ht="15.75" x14ac:dyDescent="0.25">
      <c r="B34" s="93"/>
      <c r="C34" s="198"/>
      <c r="D34" s="93"/>
      <c r="E34" s="198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46"/>
      <c r="T34" s="20"/>
    </row>
    <row r="35" spans="2:20" ht="15.75" x14ac:dyDescent="0.25">
      <c r="B35" s="93"/>
      <c r="C35" s="200"/>
      <c r="D35" s="93"/>
      <c r="E35" s="200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46"/>
      <c r="T35" s="20"/>
    </row>
    <row r="36" spans="2:20" ht="18.75" x14ac:dyDescent="0.25">
      <c r="B36" s="93"/>
      <c r="C36" s="93"/>
      <c r="D36" s="93"/>
      <c r="E36" s="93"/>
      <c r="F36" s="93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93"/>
      <c r="S36" s="46"/>
      <c r="T36" s="20"/>
    </row>
    <row r="37" spans="2:20" ht="15.75" x14ac:dyDescent="0.25">
      <c r="B37" s="93"/>
      <c r="C37" s="93"/>
      <c r="D37" s="93"/>
      <c r="E37" s="93"/>
      <c r="F37" s="93"/>
      <c r="G37" s="186" t="s">
        <v>18</v>
      </c>
      <c r="H37" s="186"/>
      <c r="I37" s="186"/>
      <c r="J37" s="93"/>
      <c r="K37" s="93"/>
      <c r="L37" s="93"/>
      <c r="M37" s="93"/>
      <c r="N37" s="93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93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93"/>
      <c r="C39" s="198"/>
      <c r="D39" s="93"/>
      <c r="E39" s="198"/>
      <c r="F39" s="93" t="s">
        <v>27</v>
      </c>
      <c r="G39" s="18">
        <f>((D10*G10)+(M10*P10))/2</f>
        <v>5125</v>
      </c>
      <c r="H39" s="18">
        <f>((D10*H10)+(M10*Q10))/3</f>
        <v>4083.3333333333335</v>
      </c>
      <c r="I39" s="18">
        <f>((D10*I10)+(M10*R10))/4</f>
        <v>3437.5</v>
      </c>
      <c r="J39" s="18">
        <f>((D9*J9)+(P9*S9))/5</f>
        <v>0</v>
      </c>
      <c r="K39" s="24"/>
      <c r="L39" s="24"/>
      <c r="M39" s="24"/>
      <c r="N39" s="24"/>
      <c r="O39" s="18">
        <f>SUM(E17:E25)</f>
        <v>500</v>
      </c>
      <c r="P39" s="18">
        <f>G39+O39</f>
        <v>5625</v>
      </c>
      <c r="Q39" s="18">
        <f>H39+O39</f>
        <v>4583.3333333333339</v>
      </c>
      <c r="R39" s="18">
        <f>I39+O39</f>
        <v>3937.5</v>
      </c>
      <c r="S39" s="18">
        <f>J39+O39</f>
        <v>500</v>
      </c>
    </row>
    <row r="40" spans="2:20" ht="15.75" x14ac:dyDescent="0.25">
      <c r="B40" s="93"/>
      <c r="C40" s="200"/>
      <c r="D40" s="93"/>
      <c r="E40" s="200"/>
      <c r="F40" s="93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93"/>
      <c r="C41" s="94"/>
      <c r="D41" s="93"/>
      <c r="E41" s="94"/>
      <c r="F41" s="93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93"/>
      <c r="S41" s="46"/>
    </row>
    <row r="42" spans="2:20" ht="15.75" x14ac:dyDescent="0.25">
      <c r="B42" s="93"/>
      <c r="C42" s="94"/>
      <c r="D42" s="93"/>
      <c r="E42" s="94"/>
      <c r="F42" s="93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93"/>
      <c r="S42" s="46"/>
    </row>
    <row r="43" spans="2:20" ht="15.75" x14ac:dyDescent="0.25">
      <c r="B43" s="93"/>
      <c r="C43" s="94"/>
      <c r="D43" s="93"/>
      <c r="E43" s="94"/>
      <c r="F43" s="93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93"/>
      <c r="S43" s="46"/>
    </row>
    <row r="44" spans="2:20" ht="15.75" x14ac:dyDescent="0.25">
      <c r="B44" s="93"/>
      <c r="C44" s="198"/>
      <c r="D44" s="93"/>
      <c r="E44" s="198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46"/>
    </row>
    <row r="45" spans="2:20" ht="18.75" x14ac:dyDescent="0.25">
      <c r="B45" s="93"/>
      <c r="C45" s="200"/>
      <c r="D45" s="93"/>
      <c r="E45" s="200"/>
      <c r="F45" s="93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93"/>
      <c r="S45" s="46"/>
    </row>
    <row r="46" spans="2:20" ht="15.75" x14ac:dyDescent="0.25">
      <c r="B46" s="93"/>
      <c r="C46" s="198"/>
      <c r="D46" s="93"/>
      <c r="E46" s="198"/>
      <c r="F46" s="93"/>
      <c r="G46" s="186" t="s">
        <v>18</v>
      </c>
      <c r="H46" s="186"/>
      <c r="I46" s="186"/>
      <c r="J46" s="93"/>
      <c r="K46" s="93"/>
      <c r="L46" s="93"/>
      <c r="M46" s="93"/>
      <c r="N46" s="93"/>
      <c r="O46" s="12"/>
      <c r="P46" s="186" t="s">
        <v>14</v>
      </c>
      <c r="Q46" s="186"/>
      <c r="R46" s="186"/>
      <c r="S46" s="46"/>
    </row>
    <row r="47" spans="2:20" ht="15.75" x14ac:dyDescent="0.25">
      <c r="B47" s="93"/>
      <c r="C47" s="200"/>
      <c r="D47" s="93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93"/>
      <c r="C48" s="95"/>
      <c r="D48" s="93"/>
      <c r="E48" s="95"/>
      <c r="F48" s="93" t="s">
        <v>27</v>
      </c>
      <c r="G48" s="18">
        <f>((D11*G11)+(M11*P11))/2</f>
        <v>6750</v>
      </c>
      <c r="H48" s="18">
        <f>((D11*H11)+(M11*Q11))/3</f>
        <v>5116.666666666667</v>
      </c>
      <c r="I48" s="18">
        <f>((D11*I11)+(M11*R11))/4</f>
        <v>4300</v>
      </c>
      <c r="J48" s="24"/>
      <c r="K48" s="24"/>
      <c r="L48" s="24"/>
      <c r="M48" s="24"/>
      <c r="N48" s="24"/>
      <c r="O48" s="24">
        <f>SUM(G17:G25)</f>
        <v>500</v>
      </c>
      <c r="P48" s="24">
        <f>G48+O48</f>
        <v>7250</v>
      </c>
      <c r="Q48" s="24">
        <f>H48+O48</f>
        <v>5616.666666666667</v>
      </c>
      <c r="R48" s="24">
        <f>I48+O48</f>
        <v>4800</v>
      </c>
      <c r="S48" s="48"/>
    </row>
    <row r="49" spans="2:19" ht="15.75" x14ac:dyDescent="0.25">
      <c r="B49" s="93"/>
      <c r="C49" s="95"/>
      <c r="D49" s="93"/>
      <c r="E49" s="95"/>
      <c r="F49" s="93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93"/>
      <c r="C50" s="95"/>
      <c r="D50" s="93"/>
      <c r="E50" s="95"/>
      <c r="F50" s="93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93"/>
      <c r="C51" s="95"/>
      <c r="D51" s="93"/>
      <c r="E51" s="95"/>
      <c r="F51" s="93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93"/>
      <c r="C52" s="95"/>
      <c r="D52" s="93"/>
      <c r="E52" s="95"/>
      <c r="F52" s="9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T60"/>
  <sheetViews>
    <sheetView zoomScale="88" zoomScaleNormal="88" workbookViewId="0">
      <selection activeCell="C23" sqref="C23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05" t="s">
        <v>21</v>
      </c>
      <c r="F8" s="105" t="s">
        <v>22</v>
      </c>
      <c r="G8" s="201"/>
      <c r="H8" s="201"/>
      <c r="I8" s="201"/>
      <c r="J8" s="230"/>
      <c r="K8" s="202"/>
      <c r="L8" s="218"/>
      <c r="M8" s="218"/>
      <c r="N8" s="104" t="s">
        <v>21</v>
      </c>
      <c r="O8" s="104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02" t="s">
        <v>5</v>
      </c>
      <c r="C9" s="103" t="s">
        <v>42</v>
      </c>
      <c r="D9" s="10">
        <v>1</v>
      </c>
      <c r="E9" s="3">
        <v>45789</v>
      </c>
      <c r="F9" s="3">
        <v>45942</v>
      </c>
      <c r="G9" s="9"/>
      <c r="H9" s="9"/>
      <c r="I9" s="9"/>
      <c r="J9" s="9"/>
      <c r="K9" s="9" t="s">
        <v>29</v>
      </c>
      <c r="L9" s="10" t="s">
        <v>79</v>
      </c>
      <c r="M9" s="10">
        <v>1</v>
      </c>
      <c r="N9" s="3">
        <v>45942</v>
      </c>
      <c r="O9" s="3" t="s">
        <v>74</v>
      </c>
      <c r="P9" s="9">
        <v>9000</v>
      </c>
      <c r="Q9" s="9">
        <v>9000</v>
      </c>
      <c r="R9" s="9">
        <v>9000</v>
      </c>
      <c r="S9" s="9"/>
      <c r="T9" s="9" t="s">
        <v>80</v>
      </c>
    </row>
    <row r="10" spans="1:20" ht="15.6" customHeight="1" x14ac:dyDescent="0.25">
      <c r="A10" s="17"/>
      <c r="B10" s="102" t="s">
        <v>19</v>
      </c>
      <c r="C10" s="103" t="s">
        <v>76</v>
      </c>
      <c r="D10" s="10">
        <v>5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02" t="s">
        <v>32</v>
      </c>
      <c r="C11" s="103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/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01"/>
      <c r="M16" s="101"/>
      <c r="N16" s="101"/>
      <c r="O16" s="101"/>
      <c r="P16" s="19"/>
      <c r="Q16" s="19"/>
      <c r="R16" s="19"/>
      <c r="S16" s="19"/>
      <c r="T16" s="16"/>
    </row>
    <row r="17" spans="2:20" ht="15.75" x14ac:dyDescent="0.25">
      <c r="B17" s="199"/>
      <c r="C17" s="30">
        <v>300</v>
      </c>
      <c r="D17" s="30"/>
      <c r="E17" s="27"/>
      <c r="F17" s="27"/>
      <c r="G17" s="32"/>
      <c r="H17" s="32"/>
      <c r="I17" s="19"/>
      <c r="J17" s="19"/>
      <c r="K17" s="19"/>
      <c r="L17" s="101"/>
      <c r="M17" s="101"/>
      <c r="N17" s="101"/>
      <c r="O17" s="101"/>
      <c r="P17" s="19"/>
      <c r="Q17" s="19"/>
      <c r="R17" s="19"/>
      <c r="S17" s="19"/>
      <c r="T17" s="16"/>
    </row>
    <row r="18" spans="2:20" ht="15.75" x14ac:dyDescent="0.25">
      <c r="B18" s="199"/>
      <c r="C18" s="30">
        <v>650</v>
      </c>
      <c r="D18" s="30"/>
      <c r="E18" s="27"/>
      <c r="F18" s="27"/>
      <c r="G18" s="32"/>
      <c r="H18" s="32"/>
      <c r="I18" s="19"/>
      <c r="J18" s="19"/>
      <c r="K18" s="19"/>
      <c r="L18" s="101"/>
      <c r="M18" s="101"/>
      <c r="N18" s="101"/>
      <c r="O18" s="101"/>
      <c r="P18" s="19"/>
      <c r="Q18" s="19"/>
      <c r="R18" s="19"/>
      <c r="S18" s="19"/>
      <c r="T18" s="16"/>
    </row>
    <row r="19" spans="2:20" ht="15.75" x14ac:dyDescent="0.25">
      <c r="B19" s="199"/>
      <c r="C19" s="30">
        <v>650</v>
      </c>
      <c r="D19" s="30"/>
      <c r="E19" s="27"/>
      <c r="F19" s="27"/>
      <c r="G19" s="32"/>
      <c r="H19" s="32"/>
      <c r="I19" s="19"/>
      <c r="J19" s="19"/>
      <c r="K19" s="19"/>
      <c r="L19" s="101"/>
      <c r="M19" s="101"/>
      <c r="N19" s="101"/>
      <c r="O19" s="101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01"/>
      <c r="M20" s="101"/>
      <c r="N20" s="101"/>
      <c r="O20" s="101"/>
      <c r="P20" s="19"/>
      <c r="Q20" s="19"/>
      <c r="R20" s="19"/>
      <c r="S20" s="19"/>
      <c r="T20" s="16"/>
    </row>
    <row r="21" spans="2:20" ht="15.75" x14ac:dyDescent="0.25">
      <c r="B21" s="101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101" t="s">
        <v>30</v>
      </c>
      <c r="C22" s="30">
        <f>500*2</f>
        <v>1000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101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101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101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101" t="s">
        <v>11</v>
      </c>
      <c r="C27" s="101"/>
      <c r="D27" s="101"/>
      <c r="E27" s="101"/>
      <c r="F27" s="101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01"/>
      <c r="K28" s="101"/>
      <c r="L28" s="101"/>
      <c r="M28" s="101"/>
      <c r="N28" s="101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101"/>
      <c r="C30" s="198"/>
      <c r="D30" s="101"/>
      <c r="E30" s="198"/>
      <c r="F30" s="101" t="s">
        <v>65</v>
      </c>
      <c r="G30" s="18">
        <f>((G9*D9)+(P9*M9))/2</f>
        <v>4500</v>
      </c>
      <c r="H30" s="18">
        <f>((D9*H9)+(M9*Q9))/3</f>
        <v>3000</v>
      </c>
      <c r="I30" s="18">
        <f>((D9*I9)+(M9*R9))/4</f>
        <v>2250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2600</v>
      </c>
      <c r="P30" s="18">
        <f>G30+O30</f>
        <v>7100</v>
      </c>
      <c r="Q30" s="18">
        <f>H30+O30</f>
        <v>5600</v>
      </c>
      <c r="R30" s="18">
        <f>I30+O30</f>
        <v>4850</v>
      </c>
      <c r="S30" s="18">
        <f>J30+O30</f>
        <v>2600</v>
      </c>
      <c r="T30" s="18"/>
    </row>
    <row r="31" spans="2:20" ht="15.75" x14ac:dyDescent="0.25">
      <c r="B31" s="101"/>
      <c r="C31" s="200"/>
      <c r="D31" s="101"/>
      <c r="E31" s="200"/>
      <c r="F31" s="101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101"/>
      <c r="C32" s="198"/>
      <c r="D32" s="101"/>
      <c r="E32" s="198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46"/>
      <c r="T32" s="20"/>
    </row>
    <row r="33" spans="2:20" ht="15.75" x14ac:dyDescent="0.25">
      <c r="B33" s="101"/>
      <c r="C33" s="200"/>
      <c r="D33" s="101"/>
      <c r="E33" s="200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46"/>
      <c r="T33" s="20"/>
    </row>
    <row r="34" spans="2:20" ht="15.75" x14ac:dyDescent="0.25">
      <c r="B34" s="101"/>
      <c r="C34" s="198"/>
      <c r="D34" s="101"/>
      <c r="E34" s="198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46"/>
      <c r="T34" s="20"/>
    </row>
    <row r="35" spans="2:20" ht="15.75" x14ac:dyDescent="0.25">
      <c r="B35" s="101"/>
      <c r="C35" s="200"/>
      <c r="D35" s="101"/>
      <c r="E35" s="200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46"/>
      <c r="T35" s="20"/>
    </row>
    <row r="36" spans="2:20" ht="18.75" x14ac:dyDescent="0.25">
      <c r="B36" s="101"/>
      <c r="C36" s="101"/>
      <c r="D36" s="101"/>
      <c r="E36" s="101"/>
      <c r="F36" s="101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01"/>
      <c r="S36" s="46"/>
      <c r="T36" s="20"/>
    </row>
    <row r="37" spans="2:20" ht="15.75" x14ac:dyDescent="0.25">
      <c r="B37" s="101"/>
      <c r="C37" s="101"/>
      <c r="D37" s="101"/>
      <c r="E37" s="101"/>
      <c r="F37" s="101"/>
      <c r="G37" s="186" t="s">
        <v>18</v>
      </c>
      <c r="H37" s="186"/>
      <c r="I37" s="186"/>
      <c r="J37" s="101"/>
      <c r="K37" s="101"/>
      <c r="L37" s="101"/>
      <c r="M37" s="101"/>
      <c r="N37" s="101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01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01"/>
      <c r="C39" s="198"/>
      <c r="D39" s="101"/>
      <c r="E39" s="198"/>
      <c r="F39" s="101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01"/>
      <c r="C40" s="200"/>
      <c r="D40" s="101"/>
      <c r="E40" s="200"/>
      <c r="F40" s="101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01"/>
      <c r="C41" s="106"/>
      <c r="D41" s="101"/>
      <c r="E41" s="106"/>
      <c r="F41" s="10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01"/>
      <c r="S41" s="46"/>
    </row>
    <row r="42" spans="2:20" ht="15.75" x14ac:dyDescent="0.25">
      <c r="B42" s="101"/>
      <c r="C42" s="106"/>
      <c r="D42" s="101"/>
      <c r="E42" s="106"/>
      <c r="F42" s="10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01"/>
      <c r="S42" s="46"/>
    </row>
    <row r="43" spans="2:20" ht="15.75" x14ac:dyDescent="0.25">
      <c r="B43" s="101"/>
      <c r="C43" s="106"/>
      <c r="D43" s="101"/>
      <c r="E43" s="106"/>
      <c r="F43" s="10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01"/>
      <c r="S43" s="46"/>
    </row>
    <row r="44" spans="2:20" ht="15.75" x14ac:dyDescent="0.25">
      <c r="B44" s="101"/>
      <c r="C44" s="198"/>
      <c r="D44" s="101"/>
      <c r="E44" s="198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46"/>
    </row>
    <row r="45" spans="2:20" ht="18.75" x14ac:dyDescent="0.25">
      <c r="B45" s="101"/>
      <c r="C45" s="200"/>
      <c r="D45" s="101"/>
      <c r="E45" s="200"/>
      <c r="F45" s="101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01"/>
      <c r="S45" s="46"/>
    </row>
    <row r="46" spans="2:20" ht="15.75" x14ac:dyDescent="0.25">
      <c r="B46" s="101"/>
      <c r="C46" s="198"/>
      <c r="D46" s="101"/>
      <c r="E46" s="198"/>
      <c r="F46" s="101"/>
      <c r="G46" s="186" t="s">
        <v>18</v>
      </c>
      <c r="H46" s="186"/>
      <c r="I46" s="186"/>
      <c r="J46" s="101"/>
      <c r="K46" s="101"/>
      <c r="L46" s="101"/>
      <c r="M46" s="101"/>
      <c r="N46" s="101"/>
      <c r="O46" s="12"/>
      <c r="P46" s="186" t="s">
        <v>14</v>
      </c>
      <c r="Q46" s="186"/>
      <c r="R46" s="186"/>
      <c r="S46" s="46"/>
    </row>
    <row r="47" spans="2:20" ht="15.75" x14ac:dyDescent="0.25">
      <c r="B47" s="101"/>
      <c r="C47" s="200"/>
      <c r="D47" s="101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01"/>
      <c r="C48" s="100"/>
      <c r="D48" s="101"/>
      <c r="E48" s="100"/>
      <c r="F48" s="101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01"/>
      <c r="C49" s="100"/>
      <c r="D49" s="101"/>
      <c r="E49" s="100"/>
      <c r="F49" s="101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01"/>
      <c r="C50" s="100"/>
      <c r="D50" s="101"/>
      <c r="E50" s="100"/>
      <c r="F50" s="101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01"/>
      <c r="C51" s="100"/>
      <c r="D51" s="101"/>
      <c r="E51" s="100"/>
      <c r="F51" s="101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01"/>
      <c r="C52" s="100"/>
      <c r="D52" s="101"/>
      <c r="E52" s="100"/>
      <c r="F52" s="101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15:B19"/>
    <mergeCell ref="C15:D15"/>
    <mergeCell ref="E15:F15"/>
    <mergeCell ref="G15:H15"/>
    <mergeCell ref="G37:I37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T60"/>
  <sheetViews>
    <sheetView zoomScale="88" zoomScaleNormal="88" workbookViewId="0">
      <selection activeCell="C17" sqref="C17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10" t="s">
        <v>21</v>
      </c>
      <c r="F8" s="110" t="s">
        <v>22</v>
      </c>
      <c r="G8" s="201"/>
      <c r="H8" s="201"/>
      <c r="I8" s="201"/>
      <c r="J8" s="230"/>
      <c r="K8" s="202"/>
      <c r="L8" s="218"/>
      <c r="M8" s="218"/>
      <c r="N8" s="113" t="s">
        <v>21</v>
      </c>
      <c r="O8" s="113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11" t="s">
        <v>5</v>
      </c>
      <c r="C9" s="112" t="s">
        <v>42</v>
      </c>
      <c r="D9" s="10">
        <v>1</v>
      </c>
      <c r="E9" s="3">
        <v>45789</v>
      </c>
      <c r="F9" s="3">
        <v>45942</v>
      </c>
      <c r="G9" s="9"/>
      <c r="H9" s="9"/>
      <c r="I9" s="9"/>
      <c r="J9" s="9"/>
      <c r="K9" s="9" t="s">
        <v>29</v>
      </c>
      <c r="L9" s="10" t="s">
        <v>81</v>
      </c>
      <c r="M9" s="10">
        <v>5</v>
      </c>
      <c r="N9" s="3">
        <v>45942</v>
      </c>
      <c r="O9" s="3" t="s">
        <v>74</v>
      </c>
      <c r="P9" s="9">
        <v>1010</v>
      </c>
      <c r="Q9" s="9">
        <v>1130</v>
      </c>
      <c r="R9" s="9">
        <v>1250</v>
      </c>
      <c r="S9" s="9"/>
      <c r="T9" s="9" t="s">
        <v>80</v>
      </c>
    </row>
    <row r="10" spans="1:20" ht="15.6" customHeight="1" x14ac:dyDescent="0.25">
      <c r="A10" s="17"/>
      <c r="B10" s="111" t="s">
        <v>19</v>
      </c>
      <c r="C10" s="112" t="s">
        <v>76</v>
      </c>
      <c r="D10" s="10">
        <v>5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11" t="s">
        <v>32</v>
      </c>
      <c r="C11" s="112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10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07"/>
      <c r="M16" s="107"/>
      <c r="N16" s="107"/>
      <c r="O16" s="107"/>
      <c r="P16" s="19"/>
      <c r="Q16" s="19"/>
      <c r="R16" s="19"/>
      <c r="S16" s="19"/>
      <c r="T16" s="16"/>
    </row>
    <row r="17" spans="2:20" ht="15.75" x14ac:dyDescent="0.25">
      <c r="B17" s="199"/>
      <c r="C17" s="30"/>
      <c r="D17" s="30"/>
      <c r="E17" s="27"/>
      <c r="F17" s="27"/>
      <c r="G17" s="32"/>
      <c r="H17" s="32"/>
      <c r="I17" s="19"/>
      <c r="J17" s="19"/>
      <c r="K17" s="19"/>
      <c r="L17" s="107"/>
      <c r="M17" s="107"/>
      <c r="N17" s="107"/>
      <c r="O17" s="107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07"/>
      <c r="M18" s="107"/>
      <c r="N18" s="107"/>
      <c r="O18" s="107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07"/>
      <c r="M19" s="107"/>
      <c r="N19" s="107"/>
      <c r="O19" s="107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07"/>
      <c r="M20" s="107"/>
      <c r="N20" s="107"/>
      <c r="O20" s="107"/>
      <c r="P20" s="19"/>
      <c r="Q20" s="19"/>
      <c r="R20" s="19"/>
      <c r="S20" s="19"/>
      <c r="T20" s="16"/>
    </row>
    <row r="21" spans="2:20" ht="15.75" x14ac:dyDescent="0.25">
      <c r="B21" s="107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107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107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107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107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107" t="s">
        <v>11</v>
      </c>
      <c r="C27" s="107"/>
      <c r="D27" s="107"/>
      <c r="E27" s="107"/>
      <c r="F27" s="107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07"/>
      <c r="K28" s="107"/>
      <c r="L28" s="107"/>
      <c r="M28" s="107"/>
      <c r="N28" s="107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107"/>
      <c r="C30" s="198"/>
      <c r="D30" s="107"/>
      <c r="E30" s="198"/>
      <c r="F30" s="107" t="s">
        <v>65</v>
      </c>
      <c r="G30" s="18">
        <f>((G9*D9)+(P9*M9))/2</f>
        <v>2525</v>
      </c>
      <c r="H30" s="18">
        <f>((D9*H9)+(M9*Q9))/3</f>
        <v>1883.3333333333333</v>
      </c>
      <c r="I30" s="18">
        <f>((D9*I9)+(M9*R9))/4</f>
        <v>1562.5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0</v>
      </c>
      <c r="P30" s="18">
        <f>G30+O30</f>
        <v>2525</v>
      </c>
      <c r="Q30" s="18">
        <f>H30+O30</f>
        <v>1883.3333333333333</v>
      </c>
      <c r="R30" s="18">
        <f>I30+O30</f>
        <v>1562.5</v>
      </c>
      <c r="S30" s="18">
        <f>J30+O30</f>
        <v>0</v>
      </c>
      <c r="T30" s="18"/>
    </row>
    <row r="31" spans="2:20" ht="15.75" x14ac:dyDescent="0.25">
      <c r="B31" s="107"/>
      <c r="C31" s="200"/>
      <c r="D31" s="107"/>
      <c r="E31" s="200"/>
      <c r="F31" s="10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107"/>
      <c r="C32" s="198"/>
      <c r="D32" s="107"/>
      <c r="E32" s="198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46"/>
      <c r="T32" s="20"/>
    </row>
    <row r="33" spans="2:20" ht="15.75" x14ac:dyDescent="0.25">
      <c r="B33" s="107"/>
      <c r="C33" s="200"/>
      <c r="D33" s="107"/>
      <c r="E33" s="200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46"/>
      <c r="T33" s="20"/>
    </row>
    <row r="34" spans="2:20" ht="15.75" x14ac:dyDescent="0.25">
      <c r="B34" s="107"/>
      <c r="C34" s="198"/>
      <c r="D34" s="107"/>
      <c r="E34" s="198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46"/>
      <c r="T34" s="20"/>
    </row>
    <row r="35" spans="2:20" ht="15.75" x14ac:dyDescent="0.25">
      <c r="B35" s="107"/>
      <c r="C35" s="200"/>
      <c r="D35" s="107"/>
      <c r="E35" s="200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46"/>
      <c r="T35" s="20"/>
    </row>
    <row r="36" spans="2:20" ht="18.75" x14ac:dyDescent="0.25">
      <c r="B36" s="107"/>
      <c r="C36" s="107"/>
      <c r="D36" s="107"/>
      <c r="E36" s="107"/>
      <c r="F36" s="107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07"/>
      <c r="S36" s="46"/>
      <c r="T36" s="20"/>
    </row>
    <row r="37" spans="2:20" ht="15.75" x14ac:dyDescent="0.25">
      <c r="B37" s="107"/>
      <c r="C37" s="107"/>
      <c r="D37" s="107"/>
      <c r="E37" s="107"/>
      <c r="F37" s="107"/>
      <c r="G37" s="186" t="s">
        <v>18</v>
      </c>
      <c r="H37" s="186"/>
      <c r="I37" s="186"/>
      <c r="J37" s="107"/>
      <c r="K37" s="107"/>
      <c r="L37" s="107"/>
      <c r="M37" s="107"/>
      <c r="N37" s="107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07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07"/>
      <c r="C39" s="198"/>
      <c r="D39" s="107"/>
      <c r="E39" s="198"/>
      <c r="F39" s="107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07"/>
      <c r="C40" s="200"/>
      <c r="D40" s="107"/>
      <c r="E40" s="200"/>
      <c r="F40" s="107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07"/>
      <c r="C41" s="108"/>
      <c r="D41" s="107"/>
      <c r="E41" s="108"/>
      <c r="F41" s="107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07"/>
      <c r="S41" s="46"/>
    </row>
    <row r="42" spans="2:20" ht="15.75" x14ac:dyDescent="0.25">
      <c r="B42" s="107"/>
      <c r="C42" s="108"/>
      <c r="D42" s="107"/>
      <c r="E42" s="108"/>
      <c r="F42" s="107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07"/>
      <c r="S42" s="46"/>
    </row>
    <row r="43" spans="2:20" ht="15.75" x14ac:dyDescent="0.25">
      <c r="B43" s="107"/>
      <c r="C43" s="108"/>
      <c r="D43" s="107"/>
      <c r="E43" s="108"/>
      <c r="F43" s="107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07"/>
      <c r="S43" s="46"/>
    </row>
    <row r="44" spans="2:20" ht="15.75" x14ac:dyDescent="0.25">
      <c r="B44" s="107"/>
      <c r="C44" s="198"/>
      <c r="D44" s="107"/>
      <c r="E44" s="198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46"/>
    </row>
    <row r="45" spans="2:20" ht="18.75" x14ac:dyDescent="0.25">
      <c r="B45" s="107"/>
      <c r="C45" s="200"/>
      <c r="D45" s="107"/>
      <c r="E45" s="200"/>
      <c r="F45" s="107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07"/>
      <c r="S45" s="46"/>
    </row>
    <row r="46" spans="2:20" ht="15.75" x14ac:dyDescent="0.25">
      <c r="B46" s="107"/>
      <c r="C46" s="198"/>
      <c r="D46" s="107"/>
      <c r="E46" s="198"/>
      <c r="F46" s="107"/>
      <c r="G46" s="186" t="s">
        <v>18</v>
      </c>
      <c r="H46" s="186"/>
      <c r="I46" s="186"/>
      <c r="J46" s="107"/>
      <c r="K46" s="107"/>
      <c r="L46" s="107"/>
      <c r="M46" s="107"/>
      <c r="N46" s="107"/>
      <c r="O46" s="12"/>
      <c r="P46" s="186" t="s">
        <v>14</v>
      </c>
      <c r="Q46" s="186"/>
      <c r="R46" s="186"/>
      <c r="S46" s="46"/>
    </row>
    <row r="47" spans="2:20" ht="15.75" x14ac:dyDescent="0.25">
      <c r="B47" s="107"/>
      <c r="C47" s="200"/>
      <c r="D47" s="107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07"/>
      <c r="C48" s="109"/>
      <c r="D48" s="107"/>
      <c r="E48" s="109"/>
      <c r="F48" s="107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07"/>
      <c r="C49" s="109"/>
      <c r="D49" s="107"/>
      <c r="E49" s="109"/>
      <c r="F49" s="107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07"/>
      <c r="C50" s="109"/>
      <c r="D50" s="107"/>
      <c r="E50" s="109"/>
      <c r="F50" s="107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07"/>
      <c r="C51" s="109"/>
      <c r="D51" s="107"/>
      <c r="E51" s="109"/>
      <c r="F51" s="107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07"/>
      <c r="C52" s="109"/>
      <c r="D52" s="107"/>
      <c r="E52" s="109"/>
      <c r="F52" s="107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07"/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T60"/>
  <sheetViews>
    <sheetView zoomScale="88" zoomScaleNormal="88" workbookViewId="0">
      <selection activeCell="C9" sqref="C9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19" t="s">
        <v>21</v>
      </c>
      <c r="F8" s="119" t="s">
        <v>22</v>
      </c>
      <c r="G8" s="201"/>
      <c r="H8" s="201"/>
      <c r="I8" s="201"/>
      <c r="J8" s="230"/>
      <c r="K8" s="202"/>
      <c r="L8" s="218"/>
      <c r="M8" s="218"/>
      <c r="N8" s="118" t="s">
        <v>21</v>
      </c>
      <c r="O8" s="118" t="s">
        <v>22</v>
      </c>
      <c r="P8" s="218"/>
      <c r="Q8" s="218"/>
      <c r="R8" s="218"/>
      <c r="S8" s="232"/>
      <c r="T8" s="217"/>
    </row>
    <row r="9" spans="1:20" ht="31.5" x14ac:dyDescent="0.25">
      <c r="A9" s="15"/>
      <c r="B9" s="116" t="s">
        <v>5</v>
      </c>
      <c r="C9" s="117" t="s">
        <v>82</v>
      </c>
      <c r="D9" s="10">
        <v>2</v>
      </c>
      <c r="E9" s="3">
        <v>45789</v>
      </c>
      <c r="F9" s="3">
        <v>45942</v>
      </c>
      <c r="G9" s="9">
        <v>600</v>
      </c>
      <c r="H9" s="9">
        <v>600</v>
      </c>
      <c r="I9" s="9">
        <v>600</v>
      </c>
      <c r="J9" s="9"/>
      <c r="K9" s="9" t="s">
        <v>80</v>
      </c>
      <c r="L9" s="10" t="s">
        <v>75</v>
      </c>
      <c r="M9" s="10">
        <v>5</v>
      </c>
      <c r="N9" s="3">
        <v>45942</v>
      </c>
      <c r="O9" s="3" t="s">
        <v>74</v>
      </c>
      <c r="P9" s="9">
        <v>800</v>
      </c>
      <c r="Q9" s="9">
        <v>850</v>
      </c>
      <c r="R9" s="9">
        <v>900</v>
      </c>
      <c r="S9" s="9"/>
      <c r="T9" s="9" t="s">
        <v>80</v>
      </c>
    </row>
    <row r="10" spans="1:20" ht="15.6" customHeight="1" x14ac:dyDescent="0.25">
      <c r="A10" s="17"/>
      <c r="B10" s="116" t="s">
        <v>19</v>
      </c>
      <c r="C10" s="117" t="s">
        <v>76</v>
      </c>
      <c r="D10" s="10">
        <v>5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16" t="s">
        <v>32</v>
      </c>
      <c r="C11" s="117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 t="s">
        <v>81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35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15"/>
      <c r="M16" s="115"/>
      <c r="N16" s="115"/>
      <c r="O16" s="115"/>
      <c r="P16" s="19"/>
      <c r="Q16" s="19"/>
      <c r="R16" s="19"/>
      <c r="S16" s="19"/>
      <c r="T16" s="16"/>
    </row>
    <row r="17" spans="2:20" ht="15.75" x14ac:dyDescent="0.25">
      <c r="B17" s="199"/>
      <c r="C17" s="30">
        <f>147*3.75</f>
        <v>551.25</v>
      </c>
      <c r="D17" s="30"/>
      <c r="E17" s="27"/>
      <c r="F17" s="27"/>
      <c r="G17" s="32"/>
      <c r="H17" s="32"/>
      <c r="I17" s="19"/>
      <c r="J17" s="19"/>
      <c r="K17" s="19"/>
      <c r="L17" s="115"/>
      <c r="M17" s="115"/>
      <c r="N17" s="115"/>
      <c r="O17" s="115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15"/>
      <c r="M18" s="115"/>
      <c r="N18" s="115"/>
      <c r="O18" s="115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15"/>
      <c r="M19" s="115"/>
      <c r="N19" s="115"/>
      <c r="O19" s="115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15"/>
      <c r="M20" s="115"/>
      <c r="N20" s="115"/>
      <c r="O20" s="115"/>
      <c r="P20" s="19"/>
      <c r="Q20" s="19"/>
      <c r="R20" s="19"/>
      <c r="S20" s="19"/>
      <c r="T20" s="16"/>
    </row>
    <row r="21" spans="2:20" ht="15.75" x14ac:dyDescent="0.25">
      <c r="B21" s="115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115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115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115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115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115" t="s">
        <v>11</v>
      </c>
      <c r="C27" s="115"/>
      <c r="D27" s="115"/>
      <c r="E27" s="115"/>
      <c r="F27" s="115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15"/>
      <c r="K28" s="115"/>
      <c r="L28" s="115"/>
      <c r="M28" s="115"/>
      <c r="N28" s="115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115"/>
      <c r="C30" s="198"/>
      <c r="D30" s="115"/>
      <c r="E30" s="198"/>
      <c r="F30" s="115" t="s">
        <v>65</v>
      </c>
      <c r="G30" s="18">
        <f>((G9*D9)+(P9*M9))/2</f>
        <v>2600</v>
      </c>
      <c r="H30" s="18">
        <f>((D9*H9)+(M9*Q9))/3</f>
        <v>1816.6666666666667</v>
      </c>
      <c r="I30" s="18">
        <f>((D9*I9)+(M9*R9))/4</f>
        <v>1425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551.25</v>
      </c>
      <c r="P30" s="18">
        <f>G30+O30</f>
        <v>3151.25</v>
      </c>
      <c r="Q30" s="18">
        <f>H30+O30</f>
        <v>2367.916666666667</v>
      </c>
      <c r="R30" s="18">
        <f>I30+O30</f>
        <v>1976.25</v>
      </c>
      <c r="S30" s="18">
        <f>J30+O30</f>
        <v>551.25</v>
      </c>
      <c r="T30" s="18"/>
    </row>
    <row r="31" spans="2:20" ht="15.75" x14ac:dyDescent="0.25">
      <c r="B31" s="115"/>
      <c r="C31" s="200"/>
      <c r="D31" s="115"/>
      <c r="E31" s="200"/>
      <c r="F31" s="11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115"/>
      <c r="C32" s="198"/>
      <c r="D32" s="115"/>
      <c r="E32" s="198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46"/>
      <c r="T32" s="20"/>
    </row>
    <row r="33" spans="2:20" ht="15.75" x14ac:dyDescent="0.25">
      <c r="B33" s="115"/>
      <c r="C33" s="200"/>
      <c r="D33" s="115"/>
      <c r="E33" s="200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46"/>
      <c r="T33" s="20"/>
    </row>
    <row r="34" spans="2:20" ht="15.75" x14ac:dyDescent="0.25">
      <c r="B34" s="115"/>
      <c r="C34" s="198"/>
      <c r="D34" s="115"/>
      <c r="E34" s="198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46"/>
      <c r="T34" s="20"/>
    </row>
    <row r="35" spans="2:20" ht="15.75" x14ac:dyDescent="0.25">
      <c r="B35" s="115"/>
      <c r="C35" s="200"/>
      <c r="D35" s="115"/>
      <c r="E35" s="200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46"/>
      <c r="T35" s="20"/>
    </row>
    <row r="36" spans="2:20" ht="18.75" x14ac:dyDescent="0.25">
      <c r="B36" s="115"/>
      <c r="C36" s="115"/>
      <c r="D36" s="115"/>
      <c r="E36" s="115"/>
      <c r="F36" s="115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15"/>
      <c r="S36" s="46"/>
      <c r="T36" s="20"/>
    </row>
    <row r="37" spans="2:20" ht="15.75" x14ac:dyDescent="0.25">
      <c r="B37" s="115"/>
      <c r="C37" s="115"/>
      <c r="D37" s="115"/>
      <c r="E37" s="115"/>
      <c r="F37" s="115"/>
      <c r="G37" s="186" t="s">
        <v>18</v>
      </c>
      <c r="H37" s="186"/>
      <c r="I37" s="186"/>
      <c r="J37" s="115"/>
      <c r="K37" s="115"/>
      <c r="L37" s="115"/>
      <c r="M37" s="115"/>
      <c r="N37" s="115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15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15"/>
      <c r="C39" s="198"/>
      <c r="D39" s="115"/>
      <c r="E39" s="198"/>
      <c r="F39" s="115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15"/>
      <c r="C40" s="200"/>
      <c r="D40" s="115"/>
      <c r="E40" s="200"/>
      <c r="F40" s="115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15"/>
      <c r="C41" s="120"/>
      <c r="D41" s="115"/>
      <c r="E41" s="120"/>
      <c r="F41" s="115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15"/>
      <c r="S41" s="46"/>
    </row>
    <row r="42" spans="2:20" ht="15.75" x14ac:dyDescent="0.25">
      <c r="B42" s="115"/>
      <c r="C42" s="120"/>
      <c r="D42" s="115"/>
      <c r="E42" s="120"/>
      <c r="F42" s="115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15"/>
      <c r="S42" s="46"/>
    </row>
    <row r="43" spans="2:20" ht="15.75" x14ac:dyDescent="0.25">
      <c r="B43" s="115"/>
      <c r="C43" s="120"/>
      <c r="D43" s="115"/>
      <c r="E43" s="120"/>
      <c r="F43" s="115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15"/>
      <c r="S43" s="46"/>
    </row>
    <row r="44" spans="2:20" ht="15.75" x14ac:dyDescent="0.25">
      <c r="B44" s="115"/>
      <c r="C44" s="198"/>
      <c r="D44" s="115"/>
      <c r="E44" s="198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46"/>
    </row>
    <row r="45" spans="2:20" ht="18.75" x14ac:dyDescent="0.25">
      <c r="B45" s="115"/>
      <c r="C45" s="200"/>
      <c r="D45" s="115"/>
      <c r="E45" s="200"/>
      <c r="F45" s="115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15"/>
      <c r="S45" s="46"/>
    </row>
    <row r="46" spans="2:20" ht="15.75" x14ac:dyDescent="0.25">
      <c r="B46" s="115"/>
      <c r="C46" s="198"/>
      <c r="D46" s="115"/>
      <c r="E46" s="198"/>
      <c r="F46" s="115"/>
      <c r="G46" s="186" t="s">
        <v>18</v>
      </c>
      <c r="H46" s="186"/>
      <c r="I46" s="186"/>
      <c r="J46" s="115"/>
      <c r="K46" s="115"/>
      <c r="L46" s="115"/>
      <c r="M46" s="115"/>
      <c r="N46" s="115"/>
      <c r="O46" s="12"/>
      <c r="P46" s="186" t="s">
        <v>14</v>
      </c>
      <c r="Q46" s="186"/>
      <c r="R46" s="186"/>
      <c r="S46" s="46"/>
    </row>
    <row r="47" spans="2:20" ht="15.75" x14ac:dyDescent="0.25">
      <c r="B47" s="115"/>
      <c r="C47" s="200"/>
      <c r="D47" s="115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15"/>
      <c r="C48" s="114"/>
      <c r="D48" s="115"/>
      <c r="E48" s="114"/>
      <c r="F48" s="115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15"/>
      <c r="C49" s="114"/>
      <c r="D49" s="115"/>
      <c r="E49" s="114"/>
      <c r="F49" s="115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15"/>
      <c r="C50" s="114"/>
      <c r="D50" s="115"/>
      <c r="E50" s="114"/>
      <c r="F50" s="115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15"/>
      <c r="C51" s="114"/>
      <c r="D51" s="115"/>
      <c r="E51" s="114"/>
      <c r="F51" s="115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15"/>
      <c r="C52" s="114"/>
      <c r="D52" s="115"/>
      <c r="E52" s="114"/>
      <c r="F52" s="115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15:B19"/>
    <mergeCell ref="C15:D15"/>
    <mergeCell ref="E15:F15"/>
    <mergeCell ref="G15:H15"/>
    <mergeCell ref="G37:I37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T60"/>
  <sheetViews>
    <sheetView zoomScale="88" zoomScaleNormal="88" workbookViewId="0">
      <selection activeCell="L29" sqref="L29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19" t="s">
        <v>21</v>
      </c>
      <c r="F8" s="119" t="s">
        <v>22</v>
      </c>
      <c r="G8" s="201"/>
      <c r="H8" s="201"/>
      <c r="I8" s="201"/>
      <c r="J8" s="230"/>
      <c r="K8" s="202"/>
      <c r="L8" s="218"/>
      <c r="M8" s="218"/>
      <c r="N8" s="118" t="s">
        <v>21</v>
      </c>
      <c r="O8" s="118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16" t="s">
        <v>5</v>
      </c>
      <c r="C9" s="117" t="s">
        <v>83</v>
      </c>
      <c r="D9" s="10">
        <v>5</v>
      </c>
      <c r="E9" s="3">
        <v>45789</v>
      </c>
      <c r="F9" s="3">
        <v>45942</v>
      </c>
      <c r="G9" s="9">
        <v>500</v>
      </c>
      <c r="H9" s="9">
        <v>500</v>
      </c>
      <c r="I9" s="9">
        <v>500</v>
      </c>
      <c r="J9" s="9"/>
      <c r="K9" s="9" t="s">
        <v>29</v>
      </c>
      <c r="L9" s="10" t="s">
        <v>75</v>
      </c>
      <c r="M9" s="10">
        <v>5</v>
      </c>
      <c r="N9" s="3">
        <v>45942</v>
      </c>
      <c r="O9" s="3" t="s">
        <v>74</v>
      </c>
      <c r="P9" s="9">
        <v>580</v>
      </c>
      <c r="Q9" s="9">
        <v>580</v>
      </c>
      <c r="R9" s="9">
        <v>580</v>
      </c>
      <c r="S9" s="9"/>
      <c r="T9" s="9" t="s">
        <v>80</v>
      </c>
    </row>
    <row r="10" spans="1:20" ht="15.6" customHeight="1" x14ac:dyDescent="0.25">
      <c r="A10" s="17"/>
      <c r="B10" s="116" t="s">
        <v>19</v>
      </c>
      <c r="C10" s="117" t="s">
        <v>76</v>
      </c>
      <c r="D10" s="10">
        <v>5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16" t="s">
        <v>32</v>
      </c>
      <c r="C11" s="117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25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15"/>
      <c r="M16" s="115"/>
      <c r="N16" s="115"/>
      <c r="O16" s="115"/>
      <c r="P16" s="19"/>
      <c r="Q16" s="19"/>
      <c r="R16" s="19"/>
      <c r="S16" s="19"/>
      <c r="T16" s="16"/>
    </row>
    <row r="17" spans="2:20" ht="15.75" x14ac:dyDescent="0.25">
      <c r="B17" s="199"/>
      <c r="C17" s="30">
        <f>184*3.75</f>
        <v>690</v>
      </c>
      <c r="D17" s="30"/>
      <c r="E17" s="27"/>
      <c r="F17" s="27"/>
      <c r="G17" s="32"/>
      <c r="H17" s="32"/>
      <c r="I17" s="19"/>
      <c r="J17" s="19"/>
      <c r="K17" s="19"/>
      <c r="L17" s="115"/>
      <c r="M17" s="115"/>
      <c r="N17" s="115"/>
      <c r="O17" s="115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15"/>
      <c r="M18" s="115"/>
      <c r="N18" s="115"/>
      <c r="O18" s="115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15"/>
      <c r="M19" s="115"/>
      <c r="N19" s="115"/>
      <c r="O19" s="115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15"/>
      <c r="M20" s="115"/>
      <c r="N20" s="115"/>
      <c r="O20" s="115"/>
      <c r="P20" s="19"/>
      <c r="Q20" s="19"/>
      <c r="R20" s="19"/>
      <c r="S20" s="19"/>
      <c r="T20" s="16"/>
    </row>
    <row r="21" spans="2:20" ht="15.75" x14ac:dyDescent="0.25">
      <c r="B21" s="115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115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115" t="s">
        <v>37</v>
      </c>
      <c r="C23" s="31">
        <f>57*3.75</f>
        <v>213.75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115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115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115" t="s">
        <v>11</v>
      </c>
      <c r="C27" s="115"/>
      <c r="D27" s="115"/>
      <c r="E27" s="115"/>
      <c r="F27" s="115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15"/>
      <c r="K28" s="115"/>
      <c r="L28" s="115"/>
      <c r="M28" s="115"/>
      <c r="N28" s="115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115"/>
      <c r="C30" s="198"/>
      <c r="D30" s="115"/>
      <c r="E30" s="198"/>
      <c r="F30" s="115" t="s">
        <v>65</v>
      </c>
      <c r="G30" s="18">
        <f>((G9*D9)+(P9*M9))/2</f>
        <v>2700</v>
      </c>
      <c r="H30" s="18">
        <f>((D9*H9)+(M9*Q9))/3</f>
        <v>1800</v>
      </c>
      <c r="I30" s="18">
        <f>((D9*I9)+(M9*R9))/4</f>
        <v>1350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903.75</v>
      </c>
      <c r="P30" s="18">
        <f>G30+O30</f>
        <v>3603.75</v>
      </c>
      <c r="Q30" s="18">
        <f>H30+O30</f>
        <v>2703.75</v>
      </c>
      <c r="R30" s="18">
        <f>I30+O30</f>
        <v>2253.75</v>
      </c>
      <c r="S30" s="18">
        <f>J30+O30</f>
        <v>903.75</v>
      </c>
      <c r="T30" s="18"/>
    </row>
    <row r="31" spans="2:20" ht="15.75" x14ac:dyDescent="0.25">
      <c r="B31" s="115"/>
      <c r="C31" s="200"/>
      <c r="D31" s="115"/>
      <c r="E31" s="200"/>
      <c r="F31" s="115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115"/>
      <c r="C32" s="198"/>
      <c r="D32" s="115"/>
      <c r="E32" s="198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46"/>
      <c r="T32" s="20"/>
    </row>
    <row r="33" spans="2:20" ht="15.75" x14ac:dyDescent="0.25">
      <c r="B33" s="115"/>
      <c r="C33" s="200"/>
      <c r="D33" s="115"/>
      <c r="E33" s="200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46"/>
      <c r="T33" s="20"/>
    </row>
    <row r="34" spans="2:20" ht="15.75" x14ac:dyDescent="0.25">
      <c r="B34" s="115"/>
      <c r="C34" s="198"/>
      <c r="D34" s="115"/>
      <c r="E34" s="198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46"/>
      <c r="T34" s="20"/>
    </row>
    <row r="35" spans="2:20" ht="15.75" x14ac:dyDescent="0.25">
      <c r="B35" s="115"/>
      <c r="C35" s="200"/>
      <c r="D35" s="115"/>
      <c r="E35" s="200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46"/>
      <c r="T35" s="20"/>
    </row>
    <row r="36" spans="2:20" ht="18.75" x14ac:dyDescent="0.25">
      <c r="B36" s="115"/>
      <c r="C36" s="115"/>
      <c r="D36" s="115"/>
      <c r="E36" s="115"/>
      <c r="F36" s="115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15"/>
      <c r="S36" s="46"/>
      <c r="T36" s="20"/>
    </row>
    <row r="37" spans="2:20" ht="15.75" x14ac:dyDescent="0.25">
      <c r="B37" s="115"/>
      <c r="C37" s="115"/>
      <c r="D37" s="115"/>
      <c r="E37" s="115"/>
      <c r="F37" s="115"/>
      <c r="G37" s="186" t="s">
        <v>18</v>
      </c>
      <c r="H37" s="186"/>
      <c r="I37" s="186"/>
      <c r="J37" s="115"/>
      <c r="K37" s="115"/>
      <c r="L37" s="115"/>
      <c r="M37" s="115"/>
      <c r="N37" s="115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15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15"/>
      <c r="C39" s="198"/>
      <c r="D39" s="115"/>
      <c r="E39" s="198"/>
      <c r="F39" s="115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15"/>
      <c r="C40" s="200"/>
      <c r="D40" s="115"/>
      <c r="E40" s="200"/>
      <c r="F40" s="115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15"/>
      <c r="C41" s="120"/>
      <c r="D41" s="115"/>
      <c r="E41" s="120"/>
      <c r="F41" s="115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15"/>
      <c r="S41" s="46"/>
    </row>
    <row r="42" spans="2:20" ht="15.75" x14ac:dyDescent="0.25">
      <c r="B42" s="115"/>
      <c r="C42" s="120"/>
      <c r="D42" s="115"/>
      <c r="E42" s="120"/>
      <c r="F42" s="115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15"/>
      <c r="S42" s="46"/>
    </row>
    <row r="43" spans="2:20" ht="15.75" x14ac:dyDescent="0.25">
      <c r="B43" s="115"/>
      <c r="C43" s="120"/>
      <c r="D43" s="115"/>
      <c r="E43" s="120"/>
      <c r="F43" s="115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15"/>
      <c r="S43" s="46"/>
    </row>
    <row r="44" spans="2:20" ht="15.75" x14ac:dyDescent="0.25">
      <c r="B44" s="115"/>
      <c r="C44" s="198"/>
      <c r="D44" s="115"/>
      <c r="E44" s="198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46"/>
    </row>
    <row r="45" spans="2:20" ht="18.75" x14ac:dyDescent="0.25">
      <c r="B45" s="115"/>
      <c r="C45" s="200"/>
      <c r="D45" s="115"/>
      <c r="E45" s="200"/>
      <c r="F45" s="115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15"/>
      <c r="S45" s="46"/>
    </row>
    <row r="46" spans="2:20" ht="15.75" x14ac:dyDescent="0.25">
      <c r="B46" s="115"/>
      <c r="C46" s="198"/>
      <c r="D46" s="115"/>
      <c r="E46" s="198"/>
      <c r="F46" s="115"/>
      <c r="G46" s="186" t="s">
        <v>18</v>
      </c>
      <c r="H46" s="186"/>
      <c r="I46" s="186"/>
      <c r="J46" s="115"/>
      <c r="K46" s="115"/>
      <c r="L46" s="115"/>
      <c r="M46" s="115"/>
      <c r="N46" s="115"/>
      <c r="O46" s="12"/>
      <c r="P46" s="186" t="s">
        <v>14</v>
      </c>
      <c r="Q46" s="186"/>
      <c r="R46" s="186"/>
      <c r="S46" s="46"/>
    </row>
    <row r="47" spans="2:20" ht="15.75" x14ac:dyDescent="0.25">
      <c r="B47" s="115"/>
      <c r="C47" s="200"/>
      <c r="D47" s="115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15"/>
      <c r="C48" s="114"/>
      <c r="D48" s="115"/>
      <c r="E48" s="114"/>
      <c r="F48" s="115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15"/>
      <c r="C49" s="114"/>
      <c r="D49" s="115"/>
      <c r="E49" s="114"/>
      <c r="F49" s="115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15"/>
      <c r="C50" s="114"/>
      <c r="D50" s="115"/>
      <c r="E50" s="114"/>
      <c r="F50" s="115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15"/>
      <c r="C51" s="114"/>
      <c r="D51" s="115"/>
      <c r="E51" s="114"/>
      <c r="F51" s="115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15"/>
      <c r="C52" s="114"/>
      <c r="D52" s="115"/>
      <c r="E52" s="114"/>
      <c r="F52" s="115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15:B19"/>
    <mergeCell ref="C15:D15"/>
    <mergeCell ref="E15:F15"/>
    <mergeCell ref="G15:H15"/>
    <mergeCell ref="G37:I37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4:T60"/>
  <sheetViews>
    <sheetView zoomScale="88" zoomScaleNormal="88" workbookViewId="0">
      <selection activeCell="C25" sqref="C25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24" t="s">
        <v>21</v>
      </c>
      <c r="F8" s="124" t="s">
        <v>22</v>
      </c>
      <c r="G8" s="201"/>
      <c r="H8" s="201"/>
      <c r="I8" s="201"/>
      <c r="J8" s="230"/>
      <c r="K8" s="202"/>
      <c r="L8" s="218"/>
      <c r="M8" s="218"/>
      <c r="N8" s="127" t="s">
        <v>21</v>
      </c>
      <c r="O8" s="127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25" t="s">
        <v>5</v>
      </c>
      <c r="C9" s="126" t="s">
        <v>83</v>
      </c>
      <c r="D9" s="10">
        <v>3</v>
      </c>
      <c r="E9" s="3" t="s">
        <v>74</v>
      </c>
      <c r="F9" s="3" t="s">
        <v>84</v>
      </c>
      <c r="G9" s="9">
        <v>590</v>
      </c>
      <c r="H9" s="9">
        <v>635</v>
      </c>
      <c r="I9" s="9">
        <v>680</v>
      </c>
      <c r="J9" s="9"/>
      <c r="K9" s="9" t="s">
        <v>29</v>
      </c>
      <c r="L9" s="10" t="s">
        <v>85</v>
      </c>
      <c r="M9" s="10">
        <v>4</v>
      </c>
      <c r="N9" s="3" t="s">
        <v>84</v>
      </c>
      <c r="O9" s="3" t="s">
        <v>86</v>
      </c>
      <c r="P9" s="9">
        <v>1850</v>
      </c>
      <c r="Q9" s="9">
        <v>2100</v>
      </c>
      <c r="R9" s="9">
        <v>2350</v>
      </c>
      <c r="S9" s="9"/>
      <c r="T9" s="9" t="s">
        <v>29</v>
      </c>
    </row>
    <row r="10" spans="1:20" ht="15.6" customHeight="1" x14ac:dyDescent="0.25">
      <c r="A10" s="17"/>
      <c r="B10" s="125" t="s">
        <v>19</v>
      </c>
      <c r="C10" s="126" t="s">
        <v>76</v>
      </c>
      <c r="D10" s="10">
        <v>5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25" t="s">
        <v>32</v>
      </c>
      <c r="C11" s="126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6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21"/>
      <c r="M16" s="121"/>
      <c r="N16" s="121"/>
      <c r="O16" s="121"/>
      <c r="P16" s="19"/>
      <c r="Q16" s="19"/>
      <c r="R16" s="19"/>
      <c r="S16" s="19"/>
      <c r="T16" s="16"/>
    </row>
    <row r="17" spans="2:20" ht="15.75" x14ac:dyDescent="0.25">
      <c r="B17" s="199"/>
      <c r="C17" s="30">
        <f>225*3.75</f>
        <v>843.75</v>
      </c>
      <c r="D17" s="30"/>
      <c r="E17" s="27"/>
      <c r="F17" s="27"/>
      <c r="G17" s="32"/>
      <c r="H17" s="32"/>
      <c r="I17" s="19"/>
      <c r="J17" s="19"/>
      <c r="K17" s="19"/>
      <c r="L17" s="121"/>
      <c r="M17" s="121"/>
      <c r="N17" s="121"/>
      <c r="O17" s="121"/>
      <c r="P17" s="19"/>
      <c r="Q17" s="19"/>
      <c r="R17" s="19"/>
      <c r="S17" s="19"/>
      <c r="T17" s="16"/>
    </row>
    <row r="18" spans="2:20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21"/>
      <c r="M18" s="121"/>
      <c r="N18" s="121"/>
      <c r="O18" s="121"/>
      <c r="P18" s="19"/>
      <c r="Q18" s="19"/>
      <c r="R18" s="19"/>
      <c r="S18" s="19"/>
      <c r="T18" s="16"/>
    </row>
    <row r="19" spans="2:20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21"/>
      <c r="M19" s="121"/>
      <c r="N19" s="121"/>
      <c r="O19" s="121"/>
      <c r="P19" s="19"/>
      <c r="Q19" s="19"/>
      <c r="R19" s="19"/>
      <c r="S19" s="19"/>
      <c r="T19" s="16"/>
    </row>
    <row r="20" spans="2:20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21"/>
      <c r="M20" s="121"/>
      <c r="N20" s="121"/>
      <c r="O20" s="121"/>
      <c r="P20" s="19"/>
      <c r="Q20" s="19"/>
      <c r="R20" s="19"/>
      <c r="S20" s="19"/>
      <c r="T20" s="16"/>
    </row>
    <row r="21" spans="2:20" ht="15.75" x14ac:dyDescent="0.25">
      <c r="B21" s="121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0" ht="15.75" x14ac:dyDescent="0.25">
      <c r="B22" s="121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0" ht="31.5" x14ac:dyDescent="0.25">
      <c r="B23" s="121" t="s">
        <v>37</v>
      </c>
      <c r="C23" s="31">
        <f>171*3.75</f>
        <v>641.25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0" ht="15.75" x14ac:dyDescent="0.25">
      <c r="B24" s="121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0" ht="15.75" x14ac:dyDescent="0.25">
      <c r="B25" s="121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0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0" ht="18.75" x14ac:dyDescent="0.25">
      <c r="B27" s="121" t="s">
        <v>11</v>
      </c>
      <c r="C27" s="121"/>
      <c r="D27" s="121"/>
      <c r="E27" s="121"/>
      <c r="F27" s="121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0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21"/>
      <c r="K28" s="121"/>
      <c r="L28" s="121"/>
      <c r="M28" s="121"/>
      <c r="N28" s="121"/>
      <c r="O28" s="12"/>
      <c r="P28" s="186" t="s">
        <v>14</v>
      </c>
      <c r="Q28" s="186"/>
      <c r="R28" s="186"/>
      <c r="S28" s="46"/>
      <c r="T28" s="20"/>
    </row>
    <row r="29" spans="2:20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</row>
    <row r="30" spans="2:20" ht="15.75" x14ac:dyDescent="0.25">
      <c r="B30" s="121"/>
      <c r="C30" s="198"/>
      <c r="D30" s="121"/>
      <c r="E30" s="198"/>
      <c r="F30" s="121" t="s">
        <v>65</v>
      </c>
      <c r="G30" s="18">
        <f>((G9*D9)+(P9*M9))/2</f>
        <v>4585</v>
      </c>
      <c r="H30" s="18">
        <f>((D9*H9)+(M9*Q9))/3</f>
        <v>3435</v>
      </c>
      <c r="I30" s="18">
        <f>((D9*I9)+(M9*R9))/4</f>
        <v>2860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1485</v>
      </c>
      <c r="P30" s="18">
        <f>G30+O30</f>
        <v>6070</v>
      </c>
      <c r="Q30" s="18">
        <f>H30+O30</f>
        <v>4920</v>
      </c>
      <c r="R30" s="18">
        <f>I30+O30</f>
        <v>4345</v>
      </c>
      <c r="S30" s="18">
        <f>J30+O30</f>
        <v>1485</v>
      </c>
      <c r="T30" s="18"/>
    </row>
    <row r="31" spans="2:20" ht="15.75" x14ac:dyDescent="0.25">
      <c r="B31" s="121"/>
      <c r="C31" s="200"/>
      <c r="D31" s="121"/>
      <c r="E31" s="200"/>
      <c r="F31" s="121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0" ht="15.75" x14ac:dyDescent="0.25">
      <c r="B32" s="121"/>
      <c r="C32" s="198"/>
      <c r="D32" s="121"/>
      <c r="E32" s="198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46"/>
      <c r="T32" s="20"/>
    </row>
    <row r="33" spans="2:20" ht="15.75" x14ac:dyDescent="0.25">
      <c r="B33" s="121"/>
      <c r="C33" s="200"/>
      <c r="D33" s="121"/>
      <c r="E33" s="200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46"/>
      <c r="T33" s="20"/>
    </row>
    <row r="34" spans="2:20" ht="15.75" x14ac:dyDescent="0.25">
      <c r="B34" s="121"/>
      <c r="C34" s="198"/>
      <c r="D34" s="121"/>
      <c r="E34" s="198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46"/>
      <c r="T34" s="20"/>
    </row>
    <row r="35" spans="2:20" ht="15.75" x14ac:dyDescent="0.25">
      <c r="B35" s="121"/>
      <c r="C35" s="200"/>
      <c r="D35" s="121"/>
      <c r="E35" s="20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46"/>
      <c r="T35" s="20"/>
    </row>
    <row r="36" spans="2:20" ht="18.75" x14ac:dyDescent="0.25">
      <c r="B36" s="121"/>
      <c r="C36" s="121"/>
      <c r="D36" s="121"/>
      <c r="E36" s="121"/>
      <c r="F36" s="121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21"/>
      <c r="S36" s="46"/>
      <c r="T36" s="20"/>
    </row>
    <row r="37" spans="2:20" ht="15.75" x14ac:dyDescent="0.25">
      <c r="B37" s="121"/>
      <c r="C37" s="121"/>
      <c r="D37" s="121"/>
      <c r="E37" s="121"/>
      <c r="F37" s="121"/>
      <c r="G37" s="186" t="s">
        <v>18</v>
      </c>
      <c r="H37" s="186"/>
      <c r="I37" s="186"/>
      <c r="J37" s="121"/>
      <c r="K37" s="121"/>
      <c r="L37" s="121"/>
      <c r="M37" s="121"/>
      <c r="N37" s="121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21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21"/>
      <c r="C39" s="198"/>
      <c r="D39" s="121"/>
      <c r="E39" s="198"/>
      <c r="F39" s="121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21"/>
      <c r="C40" s="200"/>
      <c r="D40" s="121"/>
      <c r="E40" s="200"/>
      <c r="F40" s="121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21"/>
      <c r="C41" s="122"/>
      <c r="D41" s="121"/>
      <c r="E41" s="122"/>
      <c r="F41" s="1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21"/>
      <c r="S41" s="46"/>
    </row>
    <row r="42" spans="2:20" ht="15.75" x14ac:dyDescent="0.25">
      <c r="B42" s="121"/>
      <c r="C42" s="122"/>
      <c r="D42" s="121"/>
      <c r="E42" s="122"/>
      <c r="F42" s="1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21"/>
      <c r="S42" s="46"/>
    </row>
    <row r="43" spans="2:20" ht="15.75" x14ac:dyDescent="0.25">
      <c r="B43" s="121"/>
      <c r="C43" s="122"/>
      <c r="D43" s="121"/>
      <c r="E43" s="122"/>
      <c r="F43" s="1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21"/>
      <c r="S43" s="46"/>
    </row>
    <row r="44" spans="2:20" ht="15.75" x14ac:dyDescent="0.25">
      <c r="B44" s="121"/>
      <c r="C44" s="198"/>
      <c r="D44" s="121"/>
      <c r="E44" s="198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46"/>
    </row>
    <row r="45" spans="2:20" ht="18.75" x14ac:dyDescent="0.25">
      <c r="B45" s="121"/>
      <c r="C45" s="200"/>
      <c r="D45" s="121"/>
      <c r="E45" s="200"/>
      <c r="F45" s="121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21"/>
      <c r="S45" s="46"/>
    </row>
    <row r="46" spans="2:20" ht="15.75" x14ac:dyDescent="0.25">
      <c r="B46" s="121"/>
      <c r="C46" s="198"/>
      <c r="D46" s="121"/>
      <c r="E46" s="198"/>
      <c r="F46" s="121"/>
      <c r="G46" s="186" t="s">
        <v>18</v>
      </c>
      <c r="H46" s="186"/>
      <c r="I46" s="186"/>
      <c r="J46" s="121"/>
      <c r="K46" s="121"/>
      <c r="L46" s="121"/>
      <c r="M46" s="121"/>
      <c r="N46" s="121"/>
      <c r="O46" s="12"/>
      <c r="P46" s="186" t="s">
        <v>14</v>
      </c>
      <c r="Q46" s="186"/>
      <c r="R46" s="186"/>
      <c r="S46" s="46"/>
    </row>
    <row r="47" spans="2:20" ht="15.75" x14ac:dyDescent="0.25">
      <c r="B47" s="121"/>
      <c r="C47" s="200"/>
      <c r="D47" s="121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21"/>
      <c r="C48" s="123"/>
      <c r="D48" s="121"/>
      <c r="E48" s="123"/>
      <c r="F48" s="121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21"/>
      <c r="C49" s="123"/>
      <c r="D49" s="121"/>
      <c r="E49" s="123"/>
      <c r="F49" s="121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21"/>
      <c r="C50" s="123"/>
      <c r="D50" s="121"/>
      <c r="E50" s="123"/>
      <c r="F50" s="121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21"/>
      <c r="C51" s="123"/>
      <c r="D51" s="121"/>
      <c r="E51" s="123"/>
      <c r="F51" s="121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21"/>
      <c r="C52" s="123"/>
      <c r="D52" s="121"/>
      <c r="E52" s="123"/>
      <c r="F52" s="121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4:X60"/>
  <sheetViews>
    <sheetView zoomScale="88" zoomScaleNormal="88" workbookViewId="0">
      <selection activeCell="L9" sqref="L9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31" t="s">
        <v>21</v>
      </c>
      <c r="F8" s="131" t="s">
        <v>22</v>
      </c>
      <c r="G8" s="201"/>
      <c r="H8" s="201"/>
      <c r="I8" s="201"/>
      <c r="J8" s="230"/>
      <c r="K8" s="202"/>
      <c r="L8" s="218"/>
      <c r="M8" s="218"/>
      <c r="N8" s="134" t="s">
        <v>21</v>
      </c>
      <c r="O8" s="134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32" t="s">
        <v>5</v>
      </c>
      <c r="C9" s="133" t="s">
        <v>83</v>
      </c>
      <c r="D9" s="10">
        <v>3</v>
      </c>
      <c r="E9" s="3" t="s">
        <v>74</v>
      </c>
      <c r="F9" s="3" t="s">
        <v>84</v>
      </c>
      <c r="G9" s="9">
        <v>790</v>
      </c>
      <c r="H9" s="9">
        <v>835</v>
      </c>
      <c r="I9" s="9">
        <v>880</v>
      </c>
      <c r="J9" s="9"/>
      <c r="K9" s="9" t="s">
        <v>29</v>
      </c>
      <c r="L9" s="10" t="s">
        <v>88</v>
      </c>
      <c r="M9" s="10">
        <v>1</v>
      </c>
      <c r="N9" s="3" t="s">
        <v>84</v>
      </c>
      <c r="O9" s="3" t="s">
        <v>86</v>
      </c>
      <c r="P9" s="9">
        <v>15500</v>
      </c>
      <c r="Q9" s="9">
        <v>15500</v>
      </c>
      <c r="R9" s="9">
        <v>15500</v>
      </c>
      <c r="S9" s="9"/>
      <c r="T9" s="9" t="s">
        <v>29</v>
      </c>
    </row>
    <row r="10" spans="1:20" ht="15.6" customHeight="1" x14ac:dyDescent="0.25">
      <c r="A10" s="17"/>
      <c r="B10" s="132" t="s">
        <v>19</v>
      </c>
      <c r="C10" s="133" t="s">
        <v>87</v>
      </c>
      <c r="D10" s="10">
        <v>2</v>
      </c>
      <c r="E10" s="3">
        <v>45789</v>
      </c>
      <c r="F10" s="3">
        <v>45942</v>
      </c>
      <c r="G10" s="9">
        <v>590</v>
      </c>
      <c r="H10" s="9">
        <v>590</v>
      </c>
      <c r="I10" s="9">
        <v>590</v>
      </c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32" t="s">
        <v>32</v>
      </c>
      <c r="C11" s="133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3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28"/>
      <c r="M16" s="128"/>
      <c r="N16" s="128"/>
      <c r="O16" s="128"/>
      <c r="P16" s="19"/>
      <c r="Q16" s="19"/>
      <c r="R16" s="19"/>
      <c r="S16" s="19"/>
      <c r="T16" s="16"/>
    </row>
    <row r="17" spans="2:24" ht="15.75" x14ac:dyDescent="0.25">
      <c r="B17" s="199"/>
      <c r="C17" s="30">
        <f>275*3.75</f>
        <v>1031.25</v>
      </c>
      <c r="D17" s="30"/>
      <c r="E17" s="27"/>
      <c r="F17" s="27"/>
      <c r="G17" s="32"/>
      <c r="H17" s="32"/>
      <c r="I17" s="19"/>
      <c r="J17" s="19"/>
      <c r="K17" s="19"/>
      <c r="L17" s="128"/>
      <c r="M17" s="128"/>
      <c r="N17" s="128"/>
      <c r="O17" s="128"/>
      <c r="P17" s="19"/>
      <c r="Q17" s="19"/>
      <c r="R17" s="19"/>
      <c r="S17" s="19"/>
      <c r="T17" s="16"/>
    </row>
    <row r="18" spans="2:24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28"/>
      <c r="M18" s="128"/>
      <c r="N18" s="128"/>
      <c r="O18" s="128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28"/>
      <c r="M19" s="128"/>
      <c r="N19" s="128"/>
      <c r="O19" s="128"/>
      <c r="P19" s="19"/>
      <c r="Q19" s="19"/>
      <c r="R19" s="19"/>
      <c r="S19" s="19"/>
      <c r="T19" s="16"/>
    </row>
    <row r="20" spans="2:24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28"/>
      <c r="M20" s="128"/>
      <c r="N20" s="128"/>
      <c r="O20" s="128"/>
      <c r="P20" s="19"/>
      <c r="Q20" s="19"/>
      <c r="R20" s="19"/>
      <c r="S20" s="19"/>
      <c r="T20" s="16"/>
    </row>
    <row r="21" spans="2:24" ht="15.75" x14ac:dyDescent="0.25">
      <c r="B21" s="128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4" ht="15.75" x14ac:dyDescent="0.25">
      <c r="B22" s="128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31.5" x14ac:dyDescent="0.25">
      <c r="B23" s="128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28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28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4" ht="18.75" x14ac:dyDescent="0.25">
      <c r="B27" s="128" t="s">
        <v>11</v>
      </c>
      <c r="C27" s="128"/>
      <c r="D27" s="128"/>
      <c r="E27" s="128"/>
      <c r="F27" s="128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4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28"/>
      <c r="K28" s="128"/>
      <c r="L28" s="128"/>
      <c r="M28" s="128"/>
      <c r="N28" s="128"/>
      <c r="O28" s="12"/>
      <c r="P28" s="186" t="s">
        <v>14</v>
      </c>
      <c r="Q28" s="186"/>
      <c r="R28" s="186"/>
      <c r="S28" s="46"/>
      <c r="T28" s="20"/>
    </row>
    <row r="29" spans="2:24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  <c r="V29" s="142">
        <f>P30+P39</f>
        <v>10556.25</v>
      </c>
      <c r="W29" s="142">
        <f>Q30+Q39</f>
        <v>7426.25</v>
      </c>
      <c r="X29" s="142">
        <f>R30+R39</f>
        <v>5861.25</v>
      </c>
    </row>
    <row r="30" spans="2:24" ht="15.75" x14ac:dyDescent="0.25">
      <c r="B30" s="128"/>
      <c r="C30" s="198"/>
      <c r="D30" s="128"/>
      <c r="E30" s="198"/>
      <c r="F30" s="128" t="s">
        <v>65</v>
      </c>
      <c r="G30" s="18">
        <f>((G9*D9)+(P9*M9))/2</f>
        <v>8935</v>
      </c>
      <c r="H30" s="18">
        <f>((D9*H9)+(M9*Q9))/3</f>
        <v>6001.666666666667</v>
      </c>
      <c r="I30" s="18">
        <f>((D9*I9)+(M9*R9))/4</f>
        <v>4535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1031.25</v>
      </c>
      <c r="P30" s="18">
        <f>G30+O30</f>
        <v>9966.25</v>
      </c>
      <c r="Q30" s="18">
        <f>H30+O30</f>
        <v>7032.916666666667</v>
      </c>
      <c r="R30" s="18">
        <f>I30+O30</f>
        <v>5566.25</v>
      </c>
      <c r="S30" s="18">
        <f>J30+O30</f>
        <v>1031.25</v>
      </c>
      <c r="T30" s="18"/>
    </row>
    <row r="31" spans="2:24" ht="15.75" x14ac:dyDescent="0.25">
      <c r="B31" s="128"/>
      <c r="C31" s="200"/>
      <c r="D31" s="128"/>
      <c r="E31" s="200"/>
      <c r="F31" s="12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4" ht="15.75" x14ac:dyDescent="0.25">
      <c r="B32" s="128"/>
      <c r="C32" s="198"/>
      <c r="D32" s="128"/>
      <c r="E32" s="19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46"/>
      <c r="T32" s="20"/>
    </row>
    <row r="33" spans="2:20" ht="15.75" x14ac:dyDescent="0.25">
      <c r="B33" s="128"/>
      <c r="C33" s="200"/>
      <c r="D33" s="128"/>
      <c r="E33" s="200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46"/>
      <c r="T33" s="20"/>
    </row>
    <row r="34" spans="2:20" ht="15.75" x14ac:dyDescent="0.25">
      <c r="B34" s="128"/>
      <c r="C34" s="198"/>
      <c r="D34" s="128"/>
      <c r="E34" s="19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46"/>
      <c r="T34" s="20"/>
    </row>
    <row r="35" spans="2:20" ht="15.75" x14ac:dyDescent="0.25">
      <c r="B35" s="128"/>
      <c r="C35" s="200"/>
      <c r="D35" s="128"/>
      <c r="E35" s="200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46"/>
      <c r="T35" s="20"/>
    </row>
    <row r="36" spans="2:20" ht="18.75" x14ac:dyDescent="0.25">
      <c r="B36" s="128"/>
      <c r="C36" s="128"/>
      <c r="D36" s="128"/>
      <c r="E36" s="128"/>
      <c r="F36" s="128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28"/>
      <c r="S36" s="46"/>
      <c r="T36" s="20"/>
    </row>
    <row r="37" spans="2:20" ht="15.75" x14ac:dyDescent="0.25">
      <c r="B37" s="128"/>
      <c r="C37" s="128"/>
      <c r="D37" s="128"/>
      <c r="E37" s="128"/>
      <c r="F37" s="128"/>
      <c r="G37" s="186" t="s">
        <v>18</v>
      </c>
      <c r="H37" s="186"/>
      <c r="I37" s="186"/>
      <c r="J37" s="128"/>
      <c r="K37" s="128"/>
      <c r="L37" s="128"/>
      <c r="M37" s="128"/>
      <c r="N37" s="128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28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28"/>
      <c r="C39" s="198"/>
      <c r="D39" s="128"/>
      <c r="E39" s="198"/>
      <c r="F39" s="128" t="s">
        <v>27</v>
      </c>
      <c r="G39" s="18">
        <f>((D10*G10)+(M10*P10))/2</f>
        <v>590</v>
      </c>
      <c r="H39" s="18">
        <f>((D10*H10)+(M10*Q10))/3</f>
        <v>393.33333333333331</v>
      </c>
      <c r="I39" s="18">
        <f>((D10*I10)+(M10*R10))/4</f>
        <v>295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590</v>
      </c>
      <c r="Q39" s="18">
        <f>H39+O39</f>
        <v>393.33333333333331</v>
      </c>
      <c r="R39" s="18">
        <f>I39+O39</f>
        <v>295</v>
      </c>
      <c r="S39" s="18">
        <f>J39+O39</f>
        <v>0</v>
      </c>
    </row>
    <row r="40" spans="2:20" ht="15.75" x14ac:dyDescent="0.25">
      <c r="B40" s="128"/>
      <c r="C40" s="200"/>
      <c r="D40" s="128"/>
      <c r="E40" s="200"/>
      <c r="F40" s="128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28"/>
      <c r="C41" s="129"/>
      <c r="D41" s="128"/>
      <c r="E41" s="129"/>
      <c r="F41" s="128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28"/>
      <c r="S41" s="46"/>
    </row>
    <row r="42" spans="2:20" ht="15.75" x14ac:dyDescent="0.25">
      <c r="B42" s="128"/>
      <c r="C42" s="129"/>
      <c r="D42" s="128"/>
      <c r="E42" s="129"/>
      <c r="F42" s="128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28"/>
      <c r="S42" s="46"/>
    </row>
    <row r="43" spans="2:20" ht="15.75" x14ac:dyDescent="0.25">
      <c r="B43" s="128"/>
      <c r="C43" s="129"/>
      <c r="D43" s="128"/>
      <c r="E43" s="129"/>
      <c r="F43" s="128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28"/>
      <c r="S43" s="46"/>
    </row>
    <row r="44" spans="2:20" ht="15.75" x14ac:dyDescent="0.25">
      <c r="B44" s="128"/>
      <c r="C44" s="198"/>
      <c r="D44" s="128"/>
      <c r="E44" s="19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46"/>
    </row>
    <row r="45" spans="2:20" ht="18.75" x14ac:dyDescent="0.25">
      <c r="B45" s="128"/>
      <c r="C45" s="200"/>
      <c r="D45" s="128"/>
      <c r="E45" s="200"/>
      <c r="F45" s="128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28"/>
      <c r="S45" s="46"/>
    </row>
    <row r="46" spans="2:20" ht="15.75" x14ac:dyDescent="0.25">
      <c r="B46" s="128"/>
      <c r="C46" s="198"/>
      <c r="D46" s="128"/>
      <c r="E46" s="198"/>
      <c r="F46" s="128"/>
      <c r="G46" s="186" t="s">
        <v>18</v>
      </c>
      <c r="H46" s="186"/>
      <c r="I46" s="186"/>
      <c r="J46" s="128"/>
      <c r="K46" s="128"/>
      <c r="L46" s="128"/>
      <c r="M46" s="128"/>
      <c r="N46" s="128"/>
      <c r="O46" s="12"/>
      <c r="P46" s="186" t="s">
        <v>14</v>
      </c>
      <c r="Q46" s="186"/>
      <c r="R46" s="186"/>
      <c r="S46" s="46"/>
    </row>
    <row r="47" spans="2:20" ht="15.75" x14ac:dyDescent="0.25">
      <c r="B47" s="128"/>
      <c r="C47" s="200"/>
      <c r="D47" s="128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28"/>
      <c r="C48" s="130"/>
      <c r="D48" s="128"/>
      <c r="E48" s="130"/>
      <c r="F48" s="128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28"/>
      <c r="C49" s="130"/>
      <c r="D49" s="128"/>
      <c r="E49" s="130"/>
      <c r="F49" s="128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28"/>
      <c r="C50" s="130"/>
      <c r="D50" s="128"/>
      <c r="E50" s="130"/>
      <c r="F50" s="128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28"/>
      <c r="C51" s="130"/>
      <c r="D51" s="128"/>
      <c r="E51" s="130"/>
      <c r="F51" s="1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28"/>
      <c r="C52" s="130"/>
      <c r="D52" s="128"/>
      <c r="E52" s="130"/>
      <c r="F52" s="12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4:X60"/>
  <sheetViews>
    <sheetView zoomScale="88" zoomScaleNormal="88" workbookViewId="0">
      <selection activeCell="P30" sqref="P30:R30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31" t="s">
        <v>21</v>
      </c>
      <c r="F8" s="131" t="s">
        <v>22</v>
      </c>
      <c r="G8" s="201"/>
      <c r="H8" s="201"/>
      <c r="I8" s="201"/>
      <c r="J8" s="230"/>
      <c r="K8" s="202"/>
      <c r="L8" s="218"/>
      <c r="M8" s="218"/>
      <c r="N8" s="134" t="s">
        <v>21</v>
      </c>
      <c r="O8" s="134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32" t="s">
        <v>5</v>
      </c>
      <c r="C9" s="133" t="s">
        <v>83</v>
      </c>
      <c r="D9" s="10">
        <v>6</v>
      </c>
      <c r="E9" s="3" t="s">
        <v>74</v>
      </c>
      <c r="F9" s="3" t="s">
        <v>84</v>
      </c>
      <c r="G9" s="9">
        <v>410</v>
      </c>
      <c r="H9" s="9">
        <v>455</v>
      </c>
      <c r="I9" s="9">
        <v>500</v>
      </c>
      <c r="J9" s="9"/>
      <c r="K9" s="9" t="s">
        <v>29</v>
      </c>
      <c r="L9" s="10" t="s">
        <v>89</v>
      </c>
      <c r="M9" s="10">
        <v>5</v>
      </c>
      <c r="N9" s="3" t="s">
        <v>84</v>
      </c>
      <c r="O9" s="3" t="s">
        <v>86</v>
      </c>
      <c r="P9" s="9">
        <v>410</v>
      </c>
      <c r="Q9" s="9">
        <v>450</v>
      </c>
      <c r="R9" s="9">
        <v>490</v>
      </c>
      <c r="S9" s="9"/>
      <c r="T9" s="9" t="s">
        <v>29</v>
      </c>
    </row>
    <row r="10" spans="1:20" ht="15.6" customHeight="1" x14ac:dyDescent="0.25">
      <c r="A10" s="17"/>
      <c r="B10" s="132" t="s">
        <v>19</v>
      </c>
      <c r="C10" s="133" t="s">
        <v>87</v>
      </c>
      <c r="D10" s="10">
        <v>2</v>
      </c>
      <c r="E10" s="3">
        <v>45789</v>
      </c>
      <c r="F10" s="3">
        <v>45942</v>
      </c>
      <c r="G10" s="9">
        <v>590</v>
      </c>
      <c r="H10" s="9">
        <v>590</v>
      </c>
      <c r="I10" s="9">
        <v>590</v>
      </c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32" t="s">
        <v>32</v>
      </c>
      <c r="C11" s="133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5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28"/>
      <c r="M16" s="128"/>
      <c r="N16" s="128"/>
      <c r="O16" s="128"/>
      <c r="P16" s="19"/>
      <c r="Q16" s="19"/>
      <c r="R16" s="19"/>
      <c r="S16" s="19"/>
      <c r="T16" s="16"/>
    </row>
    <row r="17" spans="2:24" ht="15.75" x14ac:dyDescent="0.25">
      <c r="B17" s="199"/>
      <c r="C17" s="30">
        <f>225*3.75</f>
        <v>843.75</v>
      </c>
      <c r="D17" s="30"/>
      <c r="E17" s="27"/>
      <c r="F17" s="27"/>
      <c r="G17" s="32"/>
      <c r="H17" s="32"/>
      <c r="I17" s="19"/>
      <c r="J17" s="19"/>
      <c r="K17" s="19"/>
      <c r="L17" s="128"/>
      <c r="M17" s="128"/>
      <c r="N17" s="128"/>
      <c r="O17" s="128"/>
      <c r="P17" s="19"/>
      <c r="Q17" s="19"/>
      <c r="R17" s="19"/>
      <c r="S17" s="19"/>
      <c r="T17" s="16"/>
    </row>
    <row r="18" spans="2:24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28"/>
      <c r="M18" s="128"/>
      <c r="N18" s="128"/>
      <c r="O18" s="128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28"/>
      <c r="M19" s="128"/>
      <c r="N19" s="128"/>
      <c r="O19" s="128"/>
      <c r="P19" s="19"/>
      <c r="Q19" s="19"/>
      <c r="R19" s="19"/>
      <c r="S19" s="19"/>
      <c r="T19" s="16"/>
    </row>
    <row r="20" spans="2:24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28"/>
      <c r="M20" s="128"/>
      <c r="N20" s="128"/>
      <c r="O20" s="128"/>
      <c r="P20" s="19"/>
      <c r="Q20" s="19"/>
      <c r="R20" s="19"/>
      <c r="S20" s="19"/>
      <c r="T20" s="16"/>
    </row>
    <row r="21" spans="2:24" ht="15.75" x14ac:dyDescent="0.25">
      <c r="B21" s="128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4" ht="15.75" x14ac:dyDescent="0.25">
      <c r="B22" s="128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31.5" x14ac:dyDescent="0.25">
      <c r="B23" s="128" t="s">
        <v>37</v>
      </c>
      <c r="C23" s="31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28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28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4" ht="18.75" x14ac:dyDescent="0.25">
      <c r="B27" s="128" t="s">
        <v>11</v>
      </c>
      <c r="C27" s="128"/>
      <c r="D27" s="128"/>
      <c r="E27" s="128"/>
      <c r="F27" s="128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4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28"/>
      <c r="K28" s="128"/>
      <c r="L28" s="128"/>
      <c r="M28" s="128"/>
      <c r="N28" s="128"/>
      <c r="O28" s="12"/>
      <c r="P28" s="186" t="s">
        <v>14</v>
      </c>
      <c r="Q28" s="186"/>
      <c r="R28" s="186"/>
      <c r="S28" s="46"/>
      <c r="T28" s="20"/>
    </row>
    <row r="29" spans="2:24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  <c r="V29" s="142">
        <f>P30+P39</f>
        <v>3688.75</v>
      </c>
      <c r="W29" s="142">
        <f>Q30+Q39</f>
        <v>2897.0833333333335</v>
      </c>
      <c r="X29" s="142">
        <f>R30+R39</f>
        <v>2501.25</v>
      </c>
    </row>
    <row r="30" spans="2:24" ht="15.75" x14ac:dyDescent="0.25">
      <c r="B30" s="128"/>
      <c r="C30" s="198"/>
      <c r="D30" s="128"/>
      <c r="E30" s="198"/>
      <c r="F30" s="128" t="s">
        <v>65</v>
      </c>
      <c r="G30" s="18">
        <f>((G9*D9)+(P9*M9))/2</f>
        <v>2255</v>
      </c>
      <c r="H30" s="18">
        <f>((D9*H9)+(M9*Q9))/3</f>
        <v>1660</v>
      </c>
      <c r="I30" s="18">
        <f>((D9*I9)+(M9*R9))/4</f>
        <v>1362.5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843.75</v>
      </c>
      <c r="P30" s="18">
        <f>G30+O30</f>
        <v>3098.75</v>
      </c>
      <c r="Q30" s="18">
        <f>H30+O30</f>
        <v>2503.75</v>
      </c>
      <c r="R30" s="18">
        <f>I30+O30</f>
        <v>2206.25</v>
      </c>
      <c r="S30" s="18">
        <f>J30+O30</f>
        <v>843.75</v>
      </c>
      <c r="T30" s="18"/>
    </row>
    <row r="31" spans="2:24" ht="15.75" x14ac:dyDescent="0.25">
      <c r="B31" s="128"/>
      <c r="C31" s="200"/>
      <c r="D31" s="128"/>
      <c r="E31" s="200"/>
      <c r="F31" s="12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4" ht="15.75" x14ac:dyDescent="0.25">
      <c r="B32" s="128"/>
      <c r="C32" s="198"/>
      <c r="D32" s="128"/>
      <c r="E32" s="19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46"/>
      <c r="T32" s="20"/>
    </row>
    <row r="33" spans="2:20" ht="15.75" x14ac:dyDescent="0.25">
      <c r="B33" s="128"/>
      <c r="C33" s="200"/>
      <c r="D33" s="128"/>
      <c r="E33" s="200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46"/>
      <c r="T33" s="20"/>
    </row>
    <row r="34" spans="2:20" ht="15.75" x14ac:dyDescent="0.25">
      <c r="B34" s="128"/>
      <c r="C34" s="198"/>
      <c r="D34" s="128"/>
      <c r="E34" s="19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46"/>
      <c r="T34" s="20"/>
    </row>
    <row r="35" spans="2:20" ht="15.75" x14ac:dyDescent="0.25">
      <c r="B35" s="128"/>
      <c r="C35" s="200"/>
      <c r="D35" s="128"/>
      <c r="E35" s="200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46"/>
      <c r="T35" s="20"/>
    </row>
    <row r="36" spans="2:20" ht="18.75" x14ac:dyDescent="0.25">
      <c r="B36" s="128"/>
      <c r="C36" s="128"/>
      <c r="D36" s="128"/>
      <c r="E36" s="128"/>
      <c r="F36" s="128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28"/>
      <c r="S36" s="46"/>
      <c r="T36" s="20"/>
    </row>
    <row r="37" spans="2:20" ht="15.75" x14ac:dyDescent="0.25">
      <c r="B37" s="128"/>
      <c r="C37" s="128"/>
      <c r="D37" s="128"/>
      <c r="E37" s="128"/>
      <c r="F37" s="128"/>
      <c r="G37" s="186" t="s">
        <v>18</v>
      </c>
      <c r="H37" s="186"/>
      <c r="I37" s="186"/>
      <c r="J37" s="128"/>
      <c r="K37" s="128"/>
      <c r="L37" s="128"/>
      <c r="M37" s="128"/>
      <c r="N37" s="128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28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28"/>
      <c r="C39" s="198"/>
      <c r="D39" s="128"/>
      <c r="E39" s="198"/>
      <c r="F39" s="128" t="s">
        <v>27</v>
      </c>
      <c r="G39" s="18">
        <f>((D10*G10)+(M10*P10))/2</f>
        <v>590</v>
      </c>
      <c r="H39" s="18">
        <f>((D10*H10)+(M10*Q10))/3</f>
        <v>393.33333333333331</v>
      </c>
      <c r="I39" s="18">
        <f>((D10*I10)+(M10*R10))/4</f>
        <v>295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590</v>
      </c>
      <c r="Q39" s="18">
        <f>H39+O39</f>
        <v>393.33333333333331</v>
      </c>
      <c r="R39" s="18">
        <f>I39+O39</f>
        <v>295</v>
      </c>
      <c r="S39" s="18">
        <f>J39+O39</f>
        <v>0</v>
      </c>
    </row>
    <row r="40" spans="2:20" ht="15.75" x14ac:dyDescent="0.25">
      <c r="B40" s="128"/>
      <c r="C40" s="200"/>
      <c r="D40" s="128"/>
      <c r="E40" s="200"/>
      <c r="F40" s="128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28"/>
      <c r="C41" s="129"/>
      <c r="D41" s="128"/>
      <c r="E41" s="129"/>
      <c r="F41" s="128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28"/>
      <c r="S41" s="46"/>
    </row>
    <row r="42" spans="2:20" ht="15.75" x14ac:dyDescent="0.25">
      <c r="B42" s="128"/>
      <c r="C42" s="129"/>
      <c r="D42" s="128"/>
      <c r="E42" s="129"/>
      <c r="F42" s="128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28"/>
      <c r="S42" s="46"/>
    </row>
    <row r="43" spans="2:20" ht="15.75" x14ac:dyDescent="0.25">
      <c r="B43" s="128"/>
      <c r="C43" s="129"/>
      <c r="D43" s="128"/>
      <c r="E43" s="129"/>
      <c r="F43" s="128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28"/>
      <c r="S43" s="46"/>
    </row>
    <row r="44" spans="2:20" ht="15.75" x14ac:dyDescent="0.25">
      <c r="B44" s="128"/>
      <c r="C44" s="198"/>
      <c r="D44" s="128"/>
      <c r="E44" s="19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46"/>
    </row>
    <row r="45" spans="2:20" ht="18.75" x14ac:dyDescent="0.25">
      <c r="B45" s="128"/>
      <c r="C45" s="200"/>
      <c r="D45" s="128"/>
      <c r="E45" s="200"/>
      <c r="F45" s="128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28"/>
      <c r="S45" s="46"/>
    </row>
    <row r="46" spans="2:20" ht="15.75" x14ac:dyDescent="0.25">
      <c r="B46" s="128"/>
      <c r="C46" s="198"/>
      <c r="D46" s="128"/>
      <c r="E46" s="198"/>
      <c r="F46" s="128"/>
      <c r="G46" s="186" t="s">
        <v>18</v>
      </c>
      <c r="H46" s="186"/>
      <c r="I46" s="186"/>
      <c r="J46" s="128"/>
      <c r="K46" s="128"/>
      <c r="L46" s="128"/>
      <c r="M46" s="128"/>
      <c r="N46" s="128"/>
      <c r="O46" s="12"/>
      <c r="P46" s="186" t="s">
        <v>14</v>
      </c>
      <c r="Q46" s="186"/>
      <c r="R46" s="186"/>
      <c r="S46" s="46"/>
    </row>
    <row r="47" spans="2:20" ht="15.75" x14ac:dyDescent="0.25">
      <c r="B47" s="128"/>
      <c r="C47" s="200"/>
      <c r="D47" s="128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28"/>
      <c r="C48" s="130"/>
      <c r="D48" s="128"/>
      <c r="E48" s="130"/>
      <c r="F48" s="128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28"/>
      <c r="C49" s="130"/>
      <c r="D49" s="128"/>
      <c r="E49" s="130"/>
      <c r="F49" s="128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28"/>
      <c r="C50" s="130"/>
      <c r="D50" s="128"/>
      <c r="E50" s="130"/>
      <c r="F50" s="128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28"/>
      <c r="C51" s="130"/>
      <c r="D51" s="128"/>
      <c r="E51" s="130"/>
      <c r="F51" s="1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28"/>
      <c r="C52" s="130"/>
      <c r="D52" s="128"/>
      <c r="E52" s="130"/>
      <c r="F52" s="128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  <mergeCell ref="B12:B13"/>
    <mergeCell ref="C12:C13"/>
    <mergeCell ref="I7:I8"/>
    <mergeCell ref="J7:J8"/>
    <mergeCell ref="K7:K8"/>
    <mergeCell ref="C14:D14"/>
    <mergeCell ref="E14:F14"/>
    <mergeCell ref="G14:H14"/>
    <mergeCell ref="L7:L8"/>
    <mergeCell ref="M7:M8"/>
    <mergeCell ref="B15:B19"/>
    <mergeCell ref="C15:D15"/>
    <mergeCell ref="E15:F15"/>
    <mergeCell ref="G15:H15"/>
    <mergeCell ref="G37:I37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4:X60"/>
  <sheetViews>
    <sheetView topLeftCell="A13" zoomScale="88" zoomScaleNormal="88" workbookViewId="0">
      <selection activeCell="L20" sqref="L20"/>
    </sheetView>
  </sheetViews>
  <sheetFormatPr defaultColWidth="8.85546875" defaultRowHeight="15" x14ac:dyDescent="0.25"/>
  <cols>
    <col min="1" max="1" width="8.85546875" style="14"/>
    <col min="2" max="2" width="16.710937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40" t="s">
        <v>21</v>
      </c>
      <c r="F8" s="140" t="s">
        <v>22</v>
      </c>
      <c r="G8" s="201"/>
      <c r="H8" s="201"/>
      <c r="I8" s="201"/>
      <c r="J8" s="230"/>
      <c r="K8" s="202"/>
      <c r="L8" s="218"/>
      <c r="M8" s="218"/>
      <c r="N8" s="139" t="s">
        <v>21</v>
      </c>
      <c r="O8" s="139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37" t="s">
        <v>5</v>
      </c>
      <c r="C9" s="138" t="s">
        <v>91</v>
      </c>
      <c r="D9" s="10">
        <v>6</v>
      </c>
      <c r="E9" s="3" t="s">
        <v>74</v>
      </c>
      <c r="F9" s="3" t="s">
        <v>84</v>
      </c>
      <c r="G9" s="9">
        <v>485</v>
      </c>
      <c r="H9" s="9">
        <v>520</v>
      </c>
      <c r="I9" s="9">
        <v>555</v>
      </c>
      <c r="J9" s="9"/>
      <c r="K9" s="9" t="s">
        <v>29</v>
      </c>
      <c r="L9" s="10" t="s">
        <v>90</v>
      </c>
      <c r="M9" s="10">
        <v>3</v>
      </c>
      <c r="N9" s="3" t="s">
        <v>84</v>
      </c>
      <c r="O9" s="3" t="s">
        <v>86</v>
      </c>
      <c r="P9" s="9">
        <v>640</v>
      </c>
      <c r="Q9" s="9">
        <v>730</v>
      </c>
      <c r="R9" s="9">
        <v>820</v>
      </c>
      <c r="S9" s="9"/>
      <c r="T9" s="9" t="s">
        <v>29</v>
      </c>
    </row>
    <row r="10" spans="1:20" ht="15.6" customHeight="1" x14ac:dyDescent="0.25">
      <c r="A10" s="17"/>
      <c r="B10" s="137" t="s">
        <v>19</v>
      </c>
      <c r="C10" s="138" t="s">
        <v>87</v>
      </c>
      <c r="D10" s="10">
        <v>2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37" t="s">
        <v>32</v>
      </c>
      <c r="C11" s="138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x14ac:dyDescent="0.25">
      <c r="A12" s="17"/>
      <c r="B12" s="203"/>
      <c r="C12" s="205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204"/>
      <c r="C13" s="206"/>
      <c r="D13" s="10"/>
      <c r="E13" s="10"/>
      <c r="F13" s="10"/>
      <c r="G13" s="9"/>
      <c r="H13" s="9"/>
      <c r="I13" s="9"/>
      <c r="J13" s="9"/>
      <c r="K13" s="9"/>
      <c r="L13" s="10"/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35" t="s">
        <v>34</v>
      </c>
      <c r="C14" s="187" t="s">
        <v>12</v>
      </c>
      <c r="D14" s="188"/>
      <c r="E14" s="189" t="s">
        <v>33</v>
      </c>
      <c r="F14" s="190"/>
      <c r="G14" s="193" t="s">
        <v>32</v>
      </c>
      <c r="H14" s="194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198" t="s">
        <v>6</v>
      </c>
      <c r="C15" s="191" t="s">
        <v>69</v>
      </c>
      <c r="D15" s="192"/>
      <c r="E15" s="191" t="s">
        <v>68</v>
      </c>
      <c r="F15" s="192"/>
      <c r="G15" s="191" t="s">
        <v>70</v>
      </c>
      <c r="H15" s="192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6" customHeight="1" x14ac:dyDescent="0.25">
      <c r="B16" s="199"/>
      <c r="C16" s="29">
        <v>53</v>
      </c>
      <c r="D16" s="29"/>
      <c r="E16" s="25">
        <v>10</v>
      </c>
      <c r="F16" s="25"/>
      <c r="G16" s="18">
        <v>10</v>
      </c>
      <c r="H16" s="18"/>
      <c r="I16" s="19"/>
      <c r="J16" s="19"/>
      <c r="K16" s="19"/>
      <c r="L16" s="136"/>
      <c r="M16" s="136"/>
      <c r="N16" s="136"/>
      <c r="O16" s="136"/>
      <c r="P16" s="19"/>
      <c r="Q16" s="19"/>
      <c r="R16" s="19"/>
      <c r="S16" s="19"/>
      <c r="T16" s="16"/>
    </row>
    <row r="17" spans="2:24" ht="15.75" x14ac:dyDescent="0.25">
      <c r="B17" s="199"/>
      <c r="C17" s="30">
        <f>147*3.75</f>
        <v>551.25</v>
      </c>
      <c r="D17" s="30"/>
      <c r="E17" s="27"/>
      <c r="F17" s="27"/>
      <c r="G17" s="32"/>
      <c r="H17" s="32"/>
      <c r="I17" s="19"/>
      <c r="J17" s="19"/>
      <c r="K17" s="19"/>
      <c r="L17" s="136"/>
      <c r="M17" s="136"/>
      <c r="N17" s="136"/>
      <c r="O17" s="136"/>
      <c r="P17" s="19"/>
      <c r="Q17" s="19"/>
      <c r="R17" s="19"/>
      <c r="S17" s="19"/>
      <c r="T17" s="16"/>
    </row>
    <row r="18" spans="2:24" ht="15.75" x14ac:dyDescent="0.25">
      <c r="B18" s="199"/>
      <c r="C18" s="30">
        <f>205*3.75</f>
        <v>768.75</v>
      </c>
      <c r="D18" s="30"/>
      <c r="E18" s="27"/>
      <c r="F18" s="27"/>
      <c r="G18" s="32"/>
      <c r="H18" s="32"/>
      <c r="I18" s="19"/>
      <c r="J18" s="19"/>
      <c r="K18" s="19"/>
      <c r="L18" s="136"/>
      <c r="M18" s="136"/>
      <c r="N18" s="136"/>
      <c r="O18" s="136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36"/>
      <c r="M19" s="136"/>
      <c r="N19" s="136"/>
      <c r="O19" s="136"/>
      <c r="P19" s="19"/>
      <c r="Q19" s="19"/>
      <c r="R19" s="19"/>
      <c r="S19" s="19"/>
      <c r="T19" s="16"/>
    </row>
    <row r="20" spans="2:24" ht="15.75" x14ac:dyDescent="0.25">
      <c r="B20" s="78" t="s">
        <v>56</v>
      </c>
      <c r="C20" s="30"/>
      <c r="D20" s="30"/>
      <c r="E20" s="27"/>
      <c r="F20" s="27"/>
      <c r="G20" s="32"/>
      <c r="H20" s="32"/>
      <c r="I20" s="19"/>
      <c r="J20" s="19"/>
      <c r="K20" s="19"/>
      <c r="L20" s="136"/>
      <c r="M20" s="136"/>
      <c r="N20" s="136"/>
      <c r="O20" s="136"/>
      <c r="P20" s="19"/>
      <c r="Q20" s="19"/>
      <c r="R20" s="19"/>
      <c r="S20" s="19"/>
      <c r="T20" s="16"/>
    </row>
    <row r="21" spans="2:24" ht="15.75" x14ac:dyDescent="0.25">
      <c r="B21" s="136" t="s">
        <v>7</v>
      </c>
      <c r="C21" s="31"/>
      <c r="D21" s="31"/>
      <c r="E21" s="28"/>
      <c r="F21" s="28"/>
      <c r="G21" s="33"/>
      <c r="H21" s="33"/>
      <c r="I21" s="19"/>
      <c r="J21" s="19"/>
      <c r="K21" s="19"/>
      <c r="L21" s="12"/>
      <c r="M21" s="12"/>
      <c r="N21" s="12"/>
      <c r="O21" s="12"/>
      <c r="P21" s="19"/>
      <c r="Q21" s="19"/>
      <c r="R21" s="19"/>
      <c r="S21" s="19"/>
      <c r="T21" s="16"/>
    </row>
    <row r="22" spans="2:24" ht="15.75" x14ac:dyDescent="0.25">
      <c r="B22" s="136" t="s">
        <v>30</v>
      </c>
      <c r="C22" s="30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31.5" x14ac:dyDescent="0.25">
      <c r="B23" s="136" t="s">
        <v>37</v>
      </c>
      <c r="C23" s="31">
        <f>46*3.75</f>
        <v>172.5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36" t="s">
        <v>57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36" t="s">
        <v>9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96" t="s">
        <v>10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44"/>
      <c r="T26" s="20"/>
    </row>
    <row r="27" spans="2:24" ht="18.75" x14ac:dyDescent="0.25">
      <c r="B27" s="136" t="s">
        <v>11</v>
      </c>
      <c r="C27" s="136"/>
      <c r="D27" s="136"/>
      <c r="E27" s="136"/>
      <c r="F27" s="136"/>
      <c r="G27" s="197" t="s">
        <v>12</v>
      </c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2"/>
      <c r="S27" s="45"/>
      <c r="T27" s="20"/>
    </row>
    <row r="28" spans="2:24" ht="15.75" x14ac:dyDescent="0.25">
      <c r="B28" s="12"/>
      <c r="C28" s="12"/>
      <c r="D28" s="12"/>
      <c r="E28" s="12"/>
      <c r="F28" s="12"/>
      <c r="G28" s="186" t="s">
        <v>13</v>
      </c>
      <c r="H28" s="186"/>
      <c r="I28" s="186"/>
      <c r="J28" s="136"/>
      <c r="K28" s="136"/>
      <c r="L28" s="136"/>
      <c r="M28" s="136"/>
      <c r="N28" s="136"/>
      <c r="O28" s="12"/>
      <c r="P28" s="186" t="s">
        <v>14</v>
      </c>
      <c r="Q28" s="186"/>
      <c r="R28" s="186"/>
      <c r="S28" s="46"/>
      <c r="T28" s="20"/>
    </row>
    <row r="29" spans="2:24" ht="31.5" x14ac:dyDescent="0.25">
      <c r="B29" s="13"/>
      <c r="C29" s="13"/>
      <c r="D29" s="13"/>
      <c r="E29" s="13"/>
      <c r="F29" s="13" t="s">
        <v>11</v>
      </c>
      <c r="G29" s="34" t="s">
        <v>2</v>
      </c>
      <c r="H29" s="34" t="s">
        <v>3</v>
      </c>
      <c r="I29" s="34" t="s">
        <v>4</v>
      </c>
      <c r="J29" s="34" t="s">
        <v>44</v>
      </c>
      <c r="K29" s="34"/>
      <c r="L29" s="34"/>
      <c r="M29" s="34"/>
      <c r="N29" s="34"/>
      <c r="O29" s="34" t="s">
        <v>15</v>
      </c>
      <c r="P29" s="34" t="s">
        <v>2</v>
      </c>
      <c r="Q29" s="34" t="s">
        <v>3</v>
      </c>
      <c r="R29" s="34" t="s">
        <v>4</v>
      </c>
      <c r="S29" s="34" t="s">
        <v>44</v>
      </c>
      <c r="T29" s="34"/>
      <c r="V29" s="142">
        <f>P30+P39</f>
        <v>3907.5</v>
      </c>
      <c r="W29" s="142">
        <f>Q30+Q39</f>
        <v>3262.5</v>
      </c>
      <c r="X29" s="142">
        <f>R30+R39</f>
        <v>2940</v>
      </c>
    </row>
    <row r="30" spans="2:24" ht="15.75" x14ac:dyDescent="0.25">
      <c r="B30" s="136"/>
      <c r="C30" s="198"/>
      <c r="D30" s="136"/>
      <c r="E30" s="198"/>
      <c r="F30" s="136" t="s">
        <v>65</v>
      </c>
      <c r="G30" s="18">
        <f>((G9*D9)+(P9*M9))/2</f>
        <v>2415</v>
      </c>
      <c r="H30" s="18">
        <f>((D9*H9)+(M9*Q9))/3</f>
        <v>1770</v>
      </c>
      <c r="I30" s="18">
        <f>((D9*I9)+(M9*R9))/4</f>
        <v>1447.5</v>
      </c>
      <c r="J30" s="18">
        <f>((D9*J9)+(M9*S9))/5</f>
        <v>0</v>
      </c>
      <c r="K30" s="18"/>
      <c r="L30" s="18"/>
      <c r="M30" s="18"/>
      <c r="N30" s="18"/>
      <c r="O30" s="18">
        <f>C17+C18+C19+C20+C21+C22+C23+C24+C25</f>
        <v>1492.5</v>
      </c>
      <c r="P30" s="18">
        <f>G30+O30</f>
        <v>3907.5</v>
      </c>
      <c r="Q30" s="18">
        <f>H30+O30</f>
        <v>3262.5</v>
      </c>
      <c r="R30" s="18">
        <f>I30+O30</f>
        <v>2940</v>
      </c>
      <c r="S30" s="18">
        <f>J30+O30</f>
        <v>1492.5</v>
      </c>
      <c r="T30" s="18"/>
    </row>
    <row r="31" spans="2:24" ht="15.75" x14ac:dyDescent="0.25">
      <c r="B31" s="136"/>
      <c r="C31" s="200"/>
      <c r="D31" s="136"/>
      <c r="E31" s="200"/>
      <c r="F31" s="136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2:24" ht="15.75" x14ac:dyDescent="0.25">
      <c r="B32" s="136"/>
      <c r="C32" s="198"/>
      <c r="D32" s="136"/>
      <c r="E32" s="198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46"/>
      <c r="T32" s="20"/>
    </row>
    <row r="33" spans="2:20" ht="15.75" x14ac:dyDescent="0.25">
      <c r="B33" s="136"/>
      <c r="C33" s="200"/>
      <c r="D33" s="136"/>
      <c r="E33" s="200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46"/>
      <c r="T33" s="20"/>
    </row>
    <row r="34" spans="2:20" ht="15.75" x14ac:dyDescent="0.25">
      <c r="B34" s="136"/>
      <c r="C34" s="198"/>
      <c r="D34" s="136"/>
      <c r="E34" s="198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46"/>
      <c r="T34" s="20"/>
    </row>
    <row r="35" spans="2:20" ht="15.75" x14ac:dyDescent="0.25">
      <c r="B35" s="136"/>
      <c r="C35" s="200"/>
      <c r="D35" s="136"/>
      <c r="E35" s="200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46"/>
      <c r="T35" s="20"/>
    </row>
    <row r="36" spans="2:20" ht="18.75" x14ac:dyDescent="0.25">
      <c r="B36" s="136"/>
      <c r="C36" s="136"/>
      <c r="D36" s="136"/>
      <c r="E36" s="136"/>
      <c r="F36" s="136"/>
      <c r="G36" s="228" t="s">
        <v>18</v>
      </c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136"/>
      <c r="S36" s="46"/>
      <c r="T36" s="20"/>
    </row>
    <row r="37" spans="2:20" ht="15.75" x14ac:dyDescent="0.25">
      <c r="B37" s="136"/>
      <c r="C37" s="136"/>
      <c r="D37" s="136"/>
      <c r="E37" s="136"/>
      <c r="F37" s="136"/>
      <c r="G37" s="186" t="s">
        <v>18</v>
      </c>
      <c r="H37" s="186"/>
      <c r="I37" s="186"/>
      <c r="J37" s="136"/>
      <c r="K37" s="136"/>
      <c r="L37" s="136"/>
      <c r="M37" s="136"/>
      <c r="N37" s="136"/>
      <c r="O37" s="12"/>
      <c r="P37" s="186" t="s">
        <v>14</v>
      </c>
      <c r="Q37" s="186"/>
      <c r="R37" s="186"/>
      <c r="S37" s="46"/>
      <c r="T37" s="20"/>
    </row>
    <row r="38" spans="2:20" ht="31.5" x14ac:dyDescent="0.25">
      <c r="B38" s="136"/>
      <c r="C38" s="13"/>
      <c r="D38" s="13"/>
      <c r="E38" s="13"/>
      <c r="F38" s="13" t="s">
        <v>11</v>
      </c>
      <c r="G38" s="26" t="s">
        <v>2</v>
      </c>
      <c r="H38" s="26" t="s">
        <v>3</v>
      </c>
      <c r="I38" s="34" t="s">
        <v>4</v>
      </c>
      <c r="J38" s="34" t="s">
        <v>44</v>
      </c>
      <c r="K38" s="26"/>
      <c r="L38" s="26"/>
      <c r="M38" s="26"/>
      <c r="N38" s="26"/>
      <c r="O38" s="26" t="s">
        <v>15</v>
      </c>
      <c r="P38" s="26" t="s">
        <v>2</v>
      </c>
      <c r="Q38" s="26" t="s">
        <v>3</v>
      </c>
      <c r="R38" s="26" t="s">
        <v>4</v>
      </c>
      <c r="S38" s="34" t="s">
        <v>44</v>
      </c>
      <c r="T38" s="20"/>
    </row>
    <row r="39" spans="2:20" ht="15.75" x14ac:dyDescent="0.25">
      <c r="B39" s="136"/>
      <c r="C39" s="198"/>
      <c r="D39" s="136"/>
      <c r="E39" s="198"/>
      <c r="F39" s="136" t="s">
        <v>27</v>
      </c>
      <c r="G39" s="18">
        <f>((D10*G10)+(M10*P10))/2</f>
        <v>0</v>
      </c>
      <c r="H39" s="18">
        <f>((D10*H10)+(M10*Q10))/3</f>
        <v>0</v>
      </c>
      <c r="I39" s="18">
        <f>((D10*I10)+(M10*R10))/4</f>
        <v>0</v>
      </c>
      <c r="J39" s="18">
        <f>((D9*J9)+(P9*S9))/5</f>
        <v>0</v>
      </c>
      <c r="K39" s="24"/>
      <c r="L39" s="24"/>
      <c r="M39" s="24"/>
      <c r="N39" s="24"/>
      <c r="O39" s="18">
        <f>SUM(E17:E25)</f>
        <v>0</v>
      </c>
      <c r="P39" s="18">
        <f>G39+O39</f>
        <v>0</v>
      </c>
      <c r="Q39" s="18">
        <f>H39+O39</f>
        <v>0</v>
      </c>
      <c r="R39" s="18">
        <f>I39+O39</f>
        <v>0</v>
      </c>
      <c r="S39" s="18">
        <f>J39+O39</f>
        <v>0</v>
      </c>
    </row>
    <row r="40" spans="2:20" ht="15.75" x14ac:dyDescent="0.25">
      <c r="B40" s="136"/>
      <c r="C40" s="200"/>
      <c r="D40" s="136"/>
      <c r="E40" s="200"/>
      <c r="F40" s="136" t="s">
        <v>26</v>
      </c>
      <c r="G40" s="18">
        <f>((D21*G21)+(M21*P21))/2</f>
        <v>0</v>
      </c>
      <c r="H40" s="18">
        <f>((D21*H21)+(M21*Q21))/3</f>
        <v>0</v>
      </c>
      <c r="I40" s="18">
        <f>((D21*I21)+(M21*R21))/4</f>
        <v>0</v>
      </c>
      <c r="J40" s="18">
        <f>((D21*J21)+(M21*S21))/5</f>
        <v>0</v>
      </c>
      <c r="K40" s="24"/>
      <c r="L40" s="24"/>
      <c r="M40" s="24"/>
      <c r="N40" s="24"/>
      <c r="O40" s="18">
        <f>C29+C30+C31+C32+C33+C34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36"/>
      <c r="C41" s="141"/>
      <c r="D41" s="136"/>
      <c r="E41" s="141"/>
      <c r="F41" s="136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136"/>
      <c r="S41" s="46"/>
    </row>
    <row r="42" spans="2:20" ht="15.75" x14ac:dyDescent="0.25">
      <c r="B42" s="136"/>
      <c r="C42" s="141"/>
      <c r="D42" s="136"/>
      <c r="E42" s="141"/>
      <c r="F42" s="136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36"/>
      <c r="S42" s="46"/>
    </row>
    <row r="43" spans="2:20" ht="15.75" x14ac:dyDescent="0.25">
      <c r="B43" s="136"/>
      <c r="C43" s="141"/>
      <c r="D43" s="136"/>
      <c r="E43" s="141"/>
      <c r="F43" s="136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36"/>
      <c r="S43" s="46"/>
    </row>
    <row r="44" spans="2:20" ht="15.75" x14ac:dyDescent="0.25">
      <c r="B44" s="136"/>
      <c r="C44" s="198"/>
      <c r="D44" s="136"/>
      <c r="E44" s="198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46"/>
    </row>
    <row r="45" spans="2:20" ht="18.75" x14ac:dyDescent="0.25">
      <c r="B45" s="136"/>
      <c r="C45" s="200"/>
      <c r="D45" s="136"/>
      <c r="E45" s="200"/>
      <c r="F45" s="136"/>
      <c r="G45" s="195" t="s">
        <v>32</v>
      </c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36"/>
      <c r="S45" s="46"/>
    </row>
    <row r="46" spans="2:20" ht="15.75" x14ac:dyDescent="0.25">
      <c r="B46" s="136"/>
      <c r="C46" s="198"/>
      <c r="D46" s="136"/>
      <c r="E46" s="198"/>
      <c r="F46" s="136"/>
      <c r="G46" s="186" t="s">
        <v>18</v>
      </c>
      <c r="H46" s="186"/>
      <c r="I46" s="186"/>
      <c r="J46" s="136"/>
      <c r="K46" s="136"/>
      <c r="L46" s="136"/>
      <c r="M46" s="136"/>
      <c r="N46" s="136"/>
      <c r="O46" s="12"/>
      <c r="P46" s="186" t="s">
        <v>14</v>
      </c>
      <c r="Q46" s="186"/>
      <c r="R46" s="186"/>
      <c r="S46" s="46"/>
    </row>
    <row r="47" spans="2:20" ht="15.75" x14ac:dyDescent="0.25">
      <c r="B47" s="136"/>
      <c r="C47" s="200"/>
      <c r="D47" s="136"/>
      <c r="E47" s="200"/>
      <c r="F47" s="13" t="s">
        <v>11</v>
      </c>
      <c r="G47" s="26" t="s">
        <v>2</v>
      </c>
      <c r="H47" s="26" t="s">
        <v>3</v>
      </c>
      <c r="I47" s="26" t="s">
        <v>4</v>
      </c>
      <c r="J47" s="26"/>
      <c r="K47" s="26"/>
      <c r="L47" s="26"/>
      <c r="M47" s="26"/>
      <c r="N47" s="26"/>
      <c r="O47" s="26" t="s">
        <v>15</v>
      </c>
      <c r="P47" s="26" t="s">
        <v>2</v>
      </c>
      <c r="Q47" s="26" t="s">
        <v>3</v>
      </c>
      <c r="R47" s="26" t="s">
        <v>4</v>
      </c>
      <c r="S47" s="47"/>
    </row>
    <row r="48" spans="2:20" ht="15.75" x14ac:dyDescent="0.25">
      <c r="B48" s="136"/>
      <c r="C48" s="135"/>
      <c r="D48" s="136"/>
      <c r="E48" s="135"/>
      <c r="F48" s="136" t="s">
        <v>27</v>
      </c>
      <c r="G48" s="18">
        <f>((D11*G11)+(M11*P11))/2</f>
        <v>0</v>
      </c>
      <c r="H48" s="18">
        <f>((D11*H11)+(M11*Q11))/3</f>
        <v>0</v>
      </c>
      <c r="I48" s="18">
        <f>((D11*I11)+(M11*R11))/4</f>
        <v>0</v>
      </c>
      <c r="J48" s="24"/>
      <c r="K48" s="24"/>
      <c r="L48" s="24"/>
      <c r="M48" s="24"/>
      <c r="N48" s="24"/>
      <c r="O48" s="24">
        <f>SUM(G17:G25)</f>
        <v>0</v>
      </c>
      <c r="P48" s="24">
        <f>G48+O48</f>
        <v>0</v>
      </c>
      <c r="Q48" s="24">
        <f>H48+O48</f>
        <v>0</v>
      </c>
      <c r="R48" s="24">
        <f>I48+O48</f>
        <v>0</v>
      </c>
      <c r="S48" s="48"/>
    </row>
    <row r="49" spans="2:19" ht="15.75" x14ac:dyDescent="0.25">
      <c r="B49" s="136"/>
      <c r="C49" s="135"/>
      <c r="D49" s="136"/>
      <c r="E49" s="135"/>
      <c r="F49" s="136" t="s">
        <v>26</v>
      </c>
      <c r="G49" s="24"/>
      <c r="H49" s="24"/>
      <c r="I49" s="24"/>
      <c r="J49" s="24"/>
      <c r="K49" s="24"/>
      <c r="L49" s="24"/>
      <c r="M49" s="24"/>
      <c r="N49" s="24"/>
      <c r="O49" s="24"/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36"/>
      <c r="C50" s="135"/>
      <c r="D50" s="136"/>
      <c r="E50" s="135"/>
      <c r="F50" s="136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48"/>
    </row>
    <row r="51" spans="2:19" ht="15.75" x14ac:dyDescent="0.25">
      <c r="B51" s="136"/>
      <c r="C51" s="135"/>
      <c r="D51" s="136"/>
      <c r="E51" s="135"/>
      <c r="F51" s="136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36"/>
      <c r="C52" s="135"/>
      <c r="D52" s="136"/>
      <c r="E52" s="135"/>
      <c r="F52" s="136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46"/>
    </row>
    <row r="54" spans="2:19" x14ac:dyDescent="0.25">
      <c r="B54" s="219" t="s">
        <v>36</v>
      </c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1"/>
      <c r="S54" s="49"/>
    </row>
    <row r="55" spans="2:19" x14ac:dyDescent="0.25">
      <c r="B55" s="222"/>
      <c r="C55" s="223"/>
      <c r="D55" s="223"/>
      <c r="E55" s="223"/>
      <c r="F55" s="223"/>
      <c r="G55" s="223"/>
      <c r="H55" s="223"/>
      <c r="I55" s="223"/>
      <c r="J55" s="223"/>
      <c r="K55" s="223"/>
      <c r="L55" s="223"/>
      <c r="M55" s="223"/>
      <c r="N55" s="223"/>
      <c r="O55" s="223"/>
      <c r="P55" s="223"/>
      <c r="Q55" s="223"/>
      <c r="R55" s="224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ht="55.15" customHeight="1" x14ac:dyDescent="0.25">
      <c r="B60" s="225"/>
      <c r="C60" s="226"/>
      <c r="D60" s="226"/>
      <c r="E60" s="226"/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7"/>
      <c r="S60" s="49"/>
    </row>
  </sheetData>
  <mergeCells count="53">
    <mergeCell ref="B54:R60"/>
    <mergeCell ref="C39:C40"/>
    <mergeCell ref="E39:E40"/>
    <mergeCell ref="C44:C45"/>
    <mergeCell ref="E44:E45"/>
    <mergeCell ref="G45:Q45"/>
    <mergeCell ref="C46:C47"/>
    <mergeCell ref="E46:E47"/>
    <mergeCell ref="G46:I46"/>
    <mergeCell ref="P46:R46"/>
    <mergeCell ref="P37:R37"/>
    <mergeCell ref="B26:R26"/>
    <mergeCell ref="G27:Q27"/>
    <mergeCell ref="G28:I28"/>
    <mergeCell ref="P28:R28"/>
    <mergeCell ref="C30:C31"/>
    <mergeCell ref="E30:E31"/>
    <mergeCell ref="C32:C33"/>
    <mergeCell ref="E32:E33"/>
    <mergeCell ref="C34:C35"/>
    <mergeCell ref="E34:E35"/>
    <mergeCell ref="G36:Q36"/>
    <mergeCell ref="B15:B19"/>
    <mergeCell ref="C15:D15"/>
    <mergeCell ref="E15:F15"/>
    <mergeCell ref="G15:H15"/>
    <mergeCell ref="G37:I37"/>
    <mergeCell ref="C14:D14"/>
    <mergeCell ref="E14:F14"/>
    <mergeCell ref="G14:H14"/>
    <mergeCell ref="L7:L8"/>
    <mergeCell ref="M7:M8"/>
    <mergeCell ref="B12:B13"/>
    <mergeCell ref="C12:C13"/>
    <mergeCell ref="I7:I8"/>
    <mergeCell ref="J7:J8"/>
    <mergeCell ref="K7:K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P7:P8"/>
    <mergeCell ref="Q7:Q8"/>
    <mergeCell ref="R7:R8"/>
    <mergeCell ref="S7:S8"/>
    <mergeCell ref="T7:T8"/>
    <mergeCell ref="N7:O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61"/>
  <sheetViews>
    <sheetView zoomScale="88" zoomScaleNormal="88" workbookViewId="0">
      <selection activeCell="L21" sqref="L21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48" t="s">
        <v>21</v>
      </c>
      <c r="F8" s="148" t="s">
        <v>22</v>
      </c>
      <c r="G8" s="201"/>
      <c r="H8" s="201"/>
      <c r="I8" s="201"/>
      <c r="J8" s="230"/>
      <c r="K8" s="202"/>
      <c r="L8" s="218"/>
      <c r="M8" s="218"/>
      <c r="N8" s="147" t="s">
        <v>21</v>
      </c>
      <c r="O8" s="147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45" t="s">
        <v>5</v>
      </c>
      <c r="C9" s="146" t="s">
        <v>93</v>
      </c>
      <c r="D9" s="10">
        <v>3</v>
      </c>
      <c r="E9" s="3">
        <v>46023</v>
      </c>
      <c r="F9" s="3">
        <v>46082</v>
      </c>
      <c r="G9" s="9"/>
      <c r="H9" s="9"/>
      <c r="I9" s="9">
        <v>835</v>
      </c>
      <c r="J9" s="9"/>
      <c r="K9" s="9" t="s">
        <v>29</v>
      </c>
      <c r="L9" s="10" t="s">
        <v>94</v>
      </c>
      <c r="M9" s="10">
        <v>7</v>
      </c>
      <c r="N9" s="3">
        <v>46082</v>
      </c>
      <c r="O9" s="3">
        <v>46296</v>
      </c>
      <c r="P9" s="9"/>
      <c r="Q9" s="9"/>
      <c r="R9" s="9">
        <v>1180</v>
      </c>
      <c r="S9" s="9"/>
      <c r="T9" s="9" t="s">
        <v>29</v>
      </c>
    </row>
    <row r="10" spans="1:20" ht="15.6" customHeight="1" x14ac:dyDescent="0.25">
      <c r="A10" s="17"/>
      <c r="B10" s="145" t="s">
        <v>19</v>
      </c>
      <c r="C10" s="146" t="s">
        <v>87</v>
      </c>
      <c r="D10" s="10">
        <v>2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45" t="s">
        <v>32</v>
      </c>
      <c r="C11" s="146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46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98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99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44"/>
      <c r="M17" s="144"/>
      <c r="N17" s="144"/>
      <c r="O17" s="144"/>
      <c r="P17" s="19"/>
      <c r="Q17" s="19"/>
      <c r="R17" s="19"/>
      <c r="S17" s="19"/>
      <c r="T17" s="16"/>
    </row>
    <row r="18" spans="2:24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44"/>
      <c r="M18" s="144"/>
      <c r="N18" s="144"/>
      <c r="O18" s="144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44"/>
      <c r="M19" s="144"/>
      <c r="N19" s="144"/>
      <c r="O19" s="144"/>
      <c r="P19" s="19"/>
      <c r="Q19" s="19"/>
      <c r="R19" s="19"/>
      <c r="S19" s="19"/>
      <c r="T19" s="16"/>
    </row>
    <row r="20" spans="2:24" ht="15.75" x14ac:dyDescent="0.25">
      <c r="B20" s="199"/>
      <c r="C20" s="30"/>
      <c r="D20" s="30"/>
      <c r="E20" s="27"/>
      <c r="F20" s="27"/>
      <c r="G20" s="32"/>
      <c r="H20" s="32"/>
      <c r="I20" s="19"/>
      <c r="J20" s="19"/>
      <c r="K20" s="19"/>
      <c r="L20" s="144"/>
      <c r="M20" s="144"/>
      <c r="N20" s="144"/>
      <c r="O20" s="144"/>
      <c r="P20" s="19"/>
      <c r="Q20" s="19"/>
      <c r="R20" s="19"/>
      <c r="S20" s="19"/>
      <c r="T20" s="16"/>
    </row>
    <row r="21" spans="2:24" ht="15.75" x14ac:dyDescent="0.25">
      <c r="B21" s="78" t="s">
        <v>95</v>
      </c>
      <c r="C21" s="30">
        <v>185.75</v>
      </c>
      <c r="D21" s="30"/>
      <c r="E21" s="27"/>
      <c r="F21" s="27"/>
      <c r="G21" s="32"/>
      <c r="H21" s="32"/>
      <c r="I21" s="19"/>
      <c r="J21" s="19"/>
      <c r="K21" s="19"/>
      <c r="L21" s="144"/>
      <c r="M21" s="144"/>
      <c r="N21" s="144"/>
      <c r="O21" s="144"/>
      <c r="P21" s="19"/>
      <c r="Q21" s="19"/>
      <c r="R21" s="19"/>
      <c r="S21" s="19"/>
      <c r="T21" s="16"/>
    </row>
    <row r="22" spans="2:24" ht="15.75" x14ac:dyDescent="0.25">
      <c r="B22" s="144" t="s">
        <v>7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44" t="s">
        <v>30</v>
      </c>
      <c r="C23" s="30"/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44" t="s">
        <v>37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44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44" t="s">
        <v>9</v>
      </c>
      <c r="C26" s="31"/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44" t="s">
        <v>11</v>
      </c>
      <c r="C28" s="144"/>
      <c r="D28" s="144"/>
      <c r="E28" s="144"/>
      <c r="F28" s="144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/>
      <c r="D29" s="12"/>
      <c r="E29" s="12"/>
      <c r="F29" s="12"/>
      <c r="G29" s="186" t="s">
        <v>13</v>
      </c>
      <c r="H29" s="186"/>
      <c r="I29" s="186"/>
      <c r="J29" s="144"/>
      <c r="K29" s="144"/>
      <c r="L29" s="144"/>
      <c r="M29" s="144"/>
      <c r="N29" s="144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185.75</v>
      </c>
      <c r="W30" s="142">
        <f>Q31+Q40</f>
        <v>185.75</v>
      </c>
      <c r="X30" s="142">
        <f>R31+R40</f>
        <v>2877</v>
      </c>
    </row>
    <row r="31" spans="2:24" ht="15.75" x14ac:dyDescent="0.25">
      <c r="B31" s="144"/>
      <c r="C31" s="198"/>
      <c r="D31" s="144"/>
      <c r="E31" s="198"/>
      <c r="F31" s="144" t="s">
        <v>65</v>
      </c>
      <c r="G31" s="18">
        <f>((G9*D9)+(P9*M9))/2</f>
        <v>0</v>
      </c>
      <c r="H31" s="18">
        <f>((D9*H9)+(M9*Q9))/3</f>
        <v>0</v>
      </c>
      <c r="I31" s="18">
        <f>((D9*I9)+(M9*R9))/4</f>
        <v>2691.25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185.75</v>
      </c>
      <c r="P31" s="18">
        <f>G31+O31</f>
        <v>185.75</v>
      </c>
      <c r="Q31" s="18">
        <f>H31+O31</f>
        <v>185.75</v>
      </c>
      <c r="R31" s="18">
        <f>I31+O31</f>
        <v>2877</v>
      </c>
      <c r="S31" s="18">
        <f>J31+O31</f>
        <v>185.75</v>
      </c>
      <c r="T31" s="18"/>
    </row>
    <row r="32" spans="2:24" ht="15.75" x14ac:dyDescent="0.25">
      <c r="B32" s="144"/>
      <c r="C32" s="200"/>
      <c r="D32" s="144"/>
      <c r="E32" s="200"/>
      <c r="F32" s="14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44"/>
      <c r="C33" s="198"/>
      <c r="D33" s="144"/>
      <c r="E33" s="198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46"/>
      <c r="T33" s="20"/>
    </row>
    <row r="34" spans="2:20" ht="15.75" x14ac:dyDescent="0.25">
      <c r="B34" s="144"/>
      <c r="C34" s="200"/>
      <c r="D34" s="144"/>
      <c r="E34" s="200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46"/>
      <c r="T34" s="20"/>
    </row>
    <row r="35" spans="2:20" ht="15.75" x14ac:dyDescent="0.25">
      <c r="B35" s="144"/>
      <c r="C35" s="198"/>
      <c r="D35" s="144"/>
      <c r="E35" s="198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46"/>
      <c r="T35" s="20"/>
    </row>
    <row r="36" spans="2:20" ht="15.75" x14ac:dyDescent="0.25">
      <c r="B36" s="144"/>
      <c r="C36" s="200"/>
      <c r="D36" s="144"/>
      <c r="E36" s="200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46"/>
      <c r="T36" s="20"/>
    </row>
    <row r="37" spans="2:20" ht="18.75" x14ac:dyDescent="0.25">
      <c r="B37" s="144"/>
      <c r="C37" s="144"/>
      <c r="D37" s="144"/>
      <c r="E37" s="144"/>
      <c r="F37" s="144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44"/>
      <c r="S37" s="46"/>
      <c r="T37" s="20"/>
    </row>
    <row r="38" spans="2:20" ht="15.75" x14ac:dyDescent="0.25">
      <c r="B38" s="144"/>
      <c r="C38" s="144"/>
      <c r="D38" s="144"/>
      <c r="E38" s="144"/>
      <c r="F38" s="144"/>
      <c r="G38" s="186" t="s">
        <v>18</v>
      </c>
      <c r="H38" s="186"/>
      <c r="I38" s="186"/>
      <c r="J38" s="144"/>
      <c r="K38" s="144"/>
      <c r="L38" s="144"/>
      <c r="M38" s="144"/>
      <c r="N38" s="144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44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44"/>
      <c r="C40" s="198"/>
      <c r="D40" s="144"/>
      <c r="E40" s="198"/>
      <c r="F40" s="144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44"/>
      <c r="C41" s="200"/>
      <c r="D41" s="144"/>
      <c r="E41" s="200"/>
      <c r="F41" s="144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44"/>
      <c r="C42" s="149"/>
      <c r="D42" s="144"/>
      <c r="E42" s="149"/>
      <c r="F42" s="14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44"/>
      <c r="S42" s="46"/>
    </row>
    <row r="43" spans="2:20" ht="15.75" x14ac:dyDescent="0.25">
      <c r="B43" s="144"/>
      <c r="C43" s="149"/>
      <c r="D43" s="144"/>
      <c r="E43" s="149"/>
      <c r="F43" s="14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44"/>
      <c r="S43" s="46"/>
    </row>
    <row r="44" spans="2:20" ht="15.75" x14ac:dyDescent="0.25">
      <c r="B44" s="144"/>
      <c r="C44" s="149"/>
      <c r="D44" s="144"/>
      <c r="E44" s="149"/>
      <c r="F44" s="144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44"/>
      <c r="S44" s="46"/>
    </row>
    <row r="45" spans="2:20" ht="15.75" x14ac:dyDescent="0.25">
      <c r="B45" s="144"/>
      <c r="C45" s="198"/>
      <c r="D45" s="144"/>
      <c r="E45" s="198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46"/>
    </row>
    <row r="46" spans="2:20" ht="18.75" x14ac:dyDescent="0.25">
      <c r="B46" s="144"/>
      <c r="C46" s="200"/>
      <c r="D46" s="144"/>
      <c r="E46" s="200"/>
      <c r="F46" s="144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44"/>
      <c r="S46" s="46"/>
    </row>
    <row r="47" spans="2:20" ht="15.75" x14ac:dyDescent="0.25">
      <c r="B47" s="144"/>
      <c r="C47" s="198"/>
      <c r="D47" s="144"/>
      <c r="E47" s="198"/>
      <c r="F47" s="144"/>
      <c r="G47" s="186" t="s">
        <v>18</v>
      </c>
      <c r="H47" s="186"/>
      <c r="I47" s="186"/>
      <c r="J47" s="144"/>
      <c r="K47" s="144"/>
      <c r="L47" s="144"/>
      <c r="M47" s="144"/>
      <c r="N47" s="144"/>
      <c r="O47" s="12"/>
      <c r="P47" s="186" t="s">
        <v>14</v>
      </c>
      <c r="Q47" s="186"/>
      <c r="R47" s="186"/>
      <c r="S47" s="46"/>
    </row>
    <row r="48" spans="2:20" ht="15.75" x14ac:dyDescent="0.25">
      <c r="B48" s="144"/>
      <c r="C48" s="200"/>
      <c r="D48" s="144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44"/>
      <c r="C49" s="143"/>
      <c r="D49" s="144"/>
      <c r="E49" s="143"/>
      <c r="F49" s="144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44"/>
      <c r="C50" s="143"/>
      <c r="D50" s="144"/>
      <c r="E50" s="143"/>
      <c r="F50" s="144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44"/>
      <c r="C51" s="143"/>
      <c r="D51" s="144"/>
      <c r="E51" s="143"/>
      <c r="F51" s="14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44"/>
      <c r="C52" s="143"/>
      <c r="D52" s="144"/>
      <c r="E52" s="143"/>
      <c r="F52" s="14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44"/>
      <c r="C53" s="143"/>
      <c r="D53" s="144"/>
      <c r="E53" s="143"/>
      <c r="F53" s="14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0:C41"/>
    <mergeCell ref="E40:E41"/>
    <mergeCell ref="C45:C46"/>
    <mergeCell ref="E45:E46"/>
    <mergeCell ref="G46:Q46"/>
    <mergeCell ref="C47:C48"/>
    <mergeCell ref="E47:E48"/>
    <mergeCell ref="G47:I47"/>
    <mergeCell ref="P47:R47"/>
    <mergeCell ref="G38:I38"/>
    <mergeCell ref="P38:R38"/>
    <mergeCell ref="B27:R27"/>
    <mergeCell ref="G28:Q28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C15:D15"/>
    <mergeCell ref="E15:F15"/>
    <mergeCell ref="G15:H15"/>
    <mergeCell ref="B16:B20"/>
    <mergeCell ref="C16:D16"/>
    <mergeCell ref="E16:F16"/>
    <mergeCell ref="G16:H16"/>
    <mergeCell ref="P7:P8"/>
    <mergeCell ref="Q7:Q8"/>
    <mergeCell ref="R7:R8"/>
    <mergeCell ref="S7:S8"/>
    <mergeCell ref="T7:T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I7:I8"/>
    <mergeCell ref="J7:J8"/>
    <mergeCell ref="K7:K8"/>
    <mergeCell ref="L7:L8"/>
    <mergeCell ref="M7:M8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61"/>
  <sheetViews>
    <sheetView zoomScale="88" zoomScaleNormal="88" workbookViewId="0">
      <selection activeCell="L26" sqref="L26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55" t="s">
        <v>21</v>
      </c>
      <c r="F8" s="155" t="s">
        <v>22</v>
      </c>
      <c r="G8" s="201"/>
      <c r="H8" s="201"/>
      <c r="I8" s="201"/>
      <c r="J8" s="230"/>
      <c r="K8" s="202"/>
      <c r="L8" s="218"/>
      <c r="M8" s="218"/>
      <c r="N8" s="154" t="s">
        <v>21</v>
      </c>
      <c r="O8" s="154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52" t="s">
        <v>5</v>
      </c>
      <c r="C9" s="153" t="s">
        <v>98</v>
      </c>
      <c r="D9" s="10">
        <v>4</v>
      </c>
      <c r="E9" s="3">
        <v>46235</v>
      </c>
      <c r="F9" s="3">
        <v>46082</v>
      </c>
      <c r="G9" s="9"/>
      <c r="H9" s="9"/>
      <c r="I9" s="9">
        <v>860</v>
      </c>
      <c r="J9" s="9"/>
      <c r="K9" s="9" t="s">
        <v>29</v>
      </c>
      <c r="L9" s="10" t="s">
        <v>96</v>
      </c>
      <c r="M9" s="10">
        <v>4</v>
      </c>
      <c r="N9" s="3">
        <v>46357</v>
      </c>
      <c r="O9" s="3" t="s">
        <v>97</v>
      </c>
      <c r="P9" s="9"/>
      <c r="Q9" s="9"/>
      <c r="R9" s="9">
        <v>540</v>
      </c>
      <c r="S9" s="9"/>
      <c r="T9" s="9" t="s">
        <v>29</v>
      </c>
    </row>
    <row r="10" spans="1:20" ht="15.6" customHeight="1" x14ac:dyDescent="0.25">
      <c r="A10" s="17"/>
      <c r="B10" s="152" t="s">
        <v>19</v>
      </c>
      <c r="C10" s="153" t="s">
        <v>87</v>
      </c>
      <c r="D10" s="10">
        <v>2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52" t="s">
        <v>32</v>
      </c>
      <c r="C11" s="153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53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98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99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51"/>
      <c r="M17" s="151"/>
      <c r="N17" s="151"/>
      <c r="O17" s="151"/>
      <c r="P17" s="19"/>
      <c r="Q17" s="19"/>
      <c r="R17" s="19"/>
      <c r="S17" s="19"/>
      <c r="T17" s="16"/>
    </row>
    <row r="18" spans="2:24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51"/>
      <c r="M18" s="151"/>
      <c r="N18" s="151"/>
      <c r="O18" s="151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51"/>
      <c r="M19" s="151"/>
      <c r="N19" s="151"/>
      <c r="O19" s="151"/>
      <c r="P19" s="19"/>
      <c r="Q19" s="19"/>
      <c r="R19" s="19"/>
      <c r="S19" s="19"/>
      <c r="T19" s="16"/>
    </row>
    <row r="20" spans="2:24" ht="15.75" x14ac:dyDescent="0.25">
      <c r="B20" s="199"/>
      <c r="C20" s="30"/>
      <c r="D20" s="30"/>
      <c r="E20" s="27"/>
      <c r="F20" s="27"/>
      <c r="G20" s="32"/>
      <c r="H20" s="32"/>
      <c r="I20" s="19"/>
      <c r="J20" s="19"/>
      <c r="K20" s="19"/>
      <c r="L20" s="151"/>
      <c r="M20" s="151"/>
      <c r="N20" s="151"/>
      <c r="O20" s="151"/>
      <c r="P20" s="19"/>
      <c r="Q20" s="19"/>
      <c r="R20" s="19"/>
      <c r="S20" s="19"/>
      <c r="T20" s="16"/>
    </row>
    <row r="21" spans="2:24" ht="15.75" x14ac:dyDescent="0.25">
      <c r="B21" s="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51"/>
      <c r="M21" s="151"/>
      <c r="N21" s="151"/>
      <c r="O21" s="151"/>
      <c r="P21" s="19"/>
      <c r="Q21" s="19"/>
      <c r="R21" s="19"/>
      <c r="S21" s="19"/>
      <c r="T21" s="16"/>
    </row>
    <row r="22" spans="2:24" ht="15.75" x14ac:dyDescent="0.25">
      <c r="B22" s="151" t="s">
        <v>7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51" t="s">
        <v>30</v>
      </c>
      <c r="C23" s="30">
        <f>147*3.75</f>
        <v>551.25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51" t="s">
        <v>37</v>
      </c>
      <c r="C24" s="31">
        <f>38*3.75</f>
        <v>142.5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51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51" t="s">
        <v>9</v>
      </c>
      <c r="C26" s="31"/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51" t="s">
        <v>11</v>
      </c>
      <c r="C28" s="151"/>
      <c r="D28" s="151"/>
      <c r="E28" s="151"/>
      <c r="F28" s="151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/>
      <c r="D29" s="12"/>
      <c r="E29" s="12"/>
      <c r="F29" s="12"/>
      <c r="G29" s="186" t="s">
        <v>13</v>
      </c>
      <c r="H29" s="186"/>
      <c r="I29" s="186"/>
      <c r="J29" s="151"/>
      <c r="K29" s="151"/>
      <c r="L29" s="151"/>
      <c r="M29" s="151"/>
      <c r="N29" s="151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693.75</v>
      </c>
      <c r="W30" s="142">
        <f>Q31+Q40</f>
        <v>693.75</v>
      </c>
      <c r="X30" s="142">
        <f>R31+R40</f>
        <v>2093.75</v>
      </c>
    </row>
    <row r="31" spans="2:24" ht="15.75" x14ac:dyDescent="0.25">
      <c r="B31" s="151"/>
      <c r="C31" s="198"/>
      <c r="D31" s="151"/>
      <c r="E31" s="198"/>
      <c r="F31" s="151" t="s">
        <v>65</v>
      </c>
      <c r="G31" s="18">
        <f>((G9*D9)+(P9*M9))/2</f>
        <v>0</v>
      </c>
      <c r="H31" s="18">
        <f>((D9*H9)+(M9*Q9))/3</f>
        <v>0</v>
      </c>
      <c r="I31" s="18">
        <f>((D9*I9)+(M9*R9))/4</f>
        <v>1400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693.75</v>
      </c>
      <c r="P31" s="18">
        <f>G31+O31</f>
        <v>693.75</v>
      </c>
      <c r="Q31" s="18">
        <f>H31+O31</f>
        <v>693.75</v>
      </c>
      <c r="R31" s="18">
        <f>I31+O31</f>
        <v>2093.75</v>
      </c>
      <c r="S31" s="18">
        <f>J31+O31</f>
        <v>693.75</v>
      </c>
      <c r="T31" s="18"/>
    </row>
    <row r="32" spans="2:24" ht="15.75" x14ac:dyDescent="0.25">
      <c r="B32" s="151"/>
      <c r="C32" s="200"/>
      <c r="D32" s="151"/>
      <c r="E32" s="200"/>
      <c r="F32" s="151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51"/>
      <c r="C33" s="198"/>
      <c r="D33" s="151"/>
      <c r="E33" s="198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46"/>
      <c r="T33" s="20"/>
    </row>
    <row r="34" spans="2:20" ht="15.75" x14ac:dyDescent="0.25">
      <c r="B34" s="151"/>
      <c r="C34" s="200"/>
      <c r="D34" s="151"/>
      <c r="E34" s="200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46"/>
      <c r="T34" s="20"/>
    </row>
    <row r="35" spans="2:20" ht="15.75" x14ac:dyDescent="0.25">
      <c r="B35" s="151"/>
      <c r="C35" s="198"/>
      <c r="D35" s="151"/>
      <c r="E35" s="198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46"/>
      <c r="T35" s="20"/>
    </row>
    <row r="36" spans="2:20" ht="15.75" x14ac:dyDescent="0.25">
      <c r="B36" s="151"/>
      <c r="C36" s="200"/>
      <c r="D36" s="151"/>
      <c r="E36" s="200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46"/>
      <c r="T36" s="20"/>
    </row>
    <row r="37" spans="2:20" ht="18.75" x14ac:dyDescent="0.25">
      <c r="B37" s="151"/>
      <c r="C37" s="151"/>
      <c r="D37" s="151"/>
      <c r="E37" s="151"/>
      <c r="F37" s="151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51"/>
      <c r="S37" s="46"/>
      <c r="T37" s="20"/>
    </row>
    <row r="38" spans="2:20" ht="15.75" x14ac:dyDescent="0.25">
      <c r="B38" s="151"/>
      <c r="C38" s="151"/>
      <c r="D38" s="151"/>
      <c r="E38" s="151"/>
      <c r="F38" s="151"/>
      <c r="G38" s="186" t="s">
        <v>18</v>
      </c>
      <c r="H38" s="186"/>
      <c r="I38" s="186"/>
      <c r="J38" s="151"/>
      <c r="K38" s="151"/>
      <c r="L38" s="151"/>
      <c r="M38" s="151"/>
      <c r="N38" s="151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51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51"/>
      <c r="C40" s="198"/>
      <c r="D40" s="151"/>
      <c r="E40" s="198"/>
      <c r="F40" s="151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51"/>
      <c r="C41" s="200"/>
      <c r="D41" s="151"/>
      <c r="E41" s="200"/>
      <c r="F41" s="151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51"/>
      <c r="C42" s="156"/>
      <c r="D42" s="151"/>
      <c r="E42" s="156"/>
      <c r="F42" s="15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51"/>
      <c r="S42" s="46"/>
    </row>
    <row r="43" spans="2:20" ht="15.75" x14ac:dyDescent="0.25">
      <c r="B43" s="151"/>
      <c r="C43" s="156"/>
      <c r="D43" s="151"/>
      <c r="E43" s="156"/>
      <c r="F43" s="15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51"/>
      <c r="S43" s="46"/>
    </row>
    <row r="44" spans="2:20" ht="15.75" x14ac:dyDescent="0.25">
      <c r="B44" s="151"/>
      <c r="C44" s="156"/>
      <c r="D44" s="151"/>
      <c r="E44" s="156"/>
      <c r="F44" s="15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51"/>
      <c r="S44" s="46"/>
    </row>
    <row r="45" spans="2:20" ht="15.75" x14ac:dyDescent="0.25">
      <c r="B45" s="151"/>
      <c r="C45" s="198"/>
      <c r="D45" s="151"/>
      <c r="E45" s="198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46"/>
    </row>
    <row r="46" spans="2:20" ht="18.75" x14ac:dyDescent="0.25">
      <c r="B46" s="151"/>
      <c r="C46" s="200"/>
      <c r="D46" s="151"/>
      <c r="E46" s="200"/>
      <c r="F46" s="151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51"/>
      <c r="S46" s="46"/>
    </row>
    <row r="47" spans="2:20" ht="15.75" x14ac:dyDescent="0.25">
      <c r="B47" s="151"/>
      <c r="C47" s="198"/>
      <c r="D47" s="151"/>
      <c r="E47" s="198"/>
      <c r="F47" s="151"/>
      <c r="G47" s="186" t="s">
        <v>18</v>
      </c>
      <c r="H47" s="186"/>
      <c r="I47" s="186"/>
      <c r="J47" s="151"/>
      <c r="K47" s="151"/>
      <c r="L47" s="151"/>
      <c r="M47" s="151"/>
      <c r="N47" s="151"/>
      <c r="O47" s="12"/>
      <c r="P47" s="186" t="s">
        <v>14</v>
      </c>
      <c r="Q47" s="186"/>
      <c r="R47" s="186"/>
      <c r="S47" s="46"/>
    </row>
    <row r="48" spans="2:20" ht="15.75" x14ac:dyDescent="0.25">
      <c r="B48" s="151"/>
      <c r="C48" s="200"/>
      <c r="D48" s="151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51"/>
      <c r="C49" s="150"/>
      <c r="D49" s="151"/>
      <c r="E49" s="150"/>
      <c r="F49" s="151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51"/>
      <c r="C50" s="150"/>
      <c r="D50" s="151"/>
      <c r="E50" s="150"/>
      <c r="F50" s="151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51"/>
      <c r="C51" s="150"/>
      <c r="D51" s="151"/>
      <c r="E51" s="150"/>
      <c r="F51" s="151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51"/>
      <c r="C52" s="150"/>
      <c r="D52" s="151"/>
      <c r="E52" s="150"/>
      <c r="F52" s="151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51"/>
      <c r="C53" s="150"/>
      <c r="D53" s="151"/>
      <c r="E53" s="150"/>
      <c r="F53" s="151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16:B20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C15:D15"/>
    <mergeCell ref="E15:F15"/>
    <mergeCell ref="G15:H15"/>
    <mergeCell ref="I7:I8"/>
    <mergeCell ref="J7:J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61"/>
  <sheetViews>
    <sheetView zoomScale="88" zoomScaleNormal="88" workbookViewId="0">
      <selection activeCell="G36" sqref="G36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60" t="s">
        <v>21</v>
      </c>
      <c r="F8" s="160" t="s">
        <v>22</v>
      </c>
      <c r="G8" s="201"/>
      <c r="H8" s="201"/>
      <c r="I8" s="201"/>
      <c r="J8" s="230"/>
      <c r="K8" s="202"/>
      <c r="L8" s="218"/>
      <c r="M8" s="218"/>
      <c r="N8" s="163" t="s">
        <v>21</v>
      </c>
      <c r="O8" s="163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61" t="s">
        <v>5</v>
      </c>
      <c r="C9" s="162" t="s">
        <v>99</v>
      </c>
      <c r="D9" s="10">
        <v>3</v>
      </c>
      <c r="E9" s="3">
        <v>46204</v>
      </c>
      <c r="F9" s="3">
        <v>46296</v>
      </c>
      <c r="G9" s="9">
        <v>880</v>
      </c>
      <c r="H9" s="9">
        <v>930</v>
      </c>
      <c r="I9" s="9">
        <v>980</v>
      </c>
      <c r="J9" s="9"/>
      <c r="K9" s="9" t="s">
        <v>29</v>
      </c>
      <c r="L9" s="10" t="s">
        <v>100</v>
      </c>
      <c r="M9" s="10">
        <v>4</v>
      </c>
      <c r="N9" s="3">
        <v>46296</v>
      </c>
      <c r="O9" s="3" t="s">
        <v>101</v>
      </c>
      <c r="P9" s="9">
        <v>650</v>
      </c>
      <c r="Q9" s="9">
        <v>700</v>
      </c>
      <c r="R9" s="9">
        <v>750</v>
      </c>
      <c r="S9" s="9"/>
      <c r="T9" s="9" t="s">
        <v>29</v>
      </c>
    </row>
    <row r="10" spans="1:20" ht="15.6" customHeight="1" x14ac:dyDescent="0.25">
      <c r="A10" s="17"/>
      <c r="B10" s="161" t="s">
        <v>19</v>
      </c>
      <c r="C10" s="162" t="s">
        <v>87</v>
      </c>
      <c r="D10" s="10">
        <v>2</v>
      </c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>
        <v>5</v>
      </c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61" t="s">
        <v>32</v>
      </c>
      <c r="C11" s="162" t="s">
        <v>76</v>
      </c>
      <c r="D11" s="10">
        <v>5</v>
      </c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>
        <v>5</v>
      </c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6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98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99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57"/>
      <c r="M17" s="157"/>
      <c r="N17" s="157"/>
      <c r="O17" s="157"/>
      <c r="P17" s="19"/>
      <c r="Q17" s="19"/>
      <c r="R17" s="19"/>
      <c r="S17" s="19"/>
      <c r="T17" s="16"/>
    </row>
    <row r="18" spans="2:24" ht="15.75" x14ac:dyDescent="0.25">
      <c r="B18" s="199"/>
      <c r="C18" s="30"/>
      <c r="D18" s="30"/>
      <c r="E18" s="27"/>
      <c r="F18" s="27"/>
      <c r="G18" s="32"/>
      <c r="H18" s="32"/>
      <c r="I18" s="19"/>
      <c r="J18" s="19"/>
      <c r="K18" s="19"/>
      <c r="L18" s="157"/>
      <c r="M18" s="157"/>
      <c r="N18" s="157"/>
      <c r="O18" s="157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57"/>
      <c r="M19" s="157"/>
      <c r="N19" s="157"/>
      <c r="O19" s="157"/>
      <c r="P19" s="19"/>
      <c r="Q19" s="19"/>
      <c r="R19" s="19"/>
      <c r="S19" s="19"/>
      <c r="T19" s="16"/>
    </row>
    <row r="20" spans="2:24" ht="15.75" x14ac:dyDescent="0.25">
      <c r="B20" s="199"/>
      <c r="C20" s="30"/>
      <c r="D20" s="30"/>
      <c r="E20" s="27"/>
      <c r="F20" s="27"/>
      <c r="G20" s="32"/>
      <c r="H20" s="32"/>
      <c r="I20" s="19"/>
      <c r="J20" s="19"/>
      <c r="K20" s="19"/>
      <c r="L20" s="157"/>
      <c r="M20" s="157"/>
      <c r="N20" s="157"/>
      <c r="O20" s="157"/>
      <c r="P20" s="19"/>
      <c r="Q20" s="19"/>
      <c r="R20" s="19"/>
      <c r="S20" s="19"/>
      <c r="T20" s="16"/>
    </row>
    <row r="21" spans="2:24" ht="15.75" x14ac:dyDescent="0.25">
      <c r="B21" s="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57"/>
      <c r="M21" s="157"/>
      <c r="N21" s="157"/>
      <c r="O21" s="157"/>
      <c r="P21" s="19"/>
      <c r="Q21" s="19"/>
      <c r="R21" s="19"/>
      <c r="S21" s="19"/>
      <c r="T21" s="16"/>
    </row>
    <row r="22" spans="2:24" ht="15.75" x14ac:dyDescent="0.25">
      <c r="B22" s="157" t="s">
        <v>7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57" t="s">
        <v>30</v>
      </c>
      <c r="C23" s="30">
        <f>169*3.75</f>
        <v>633.75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57" t="s">
        <v>37</v>
      </c>
      <c r="C24" s="31">
        <f>55*3.75</f>
        <v>206.25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57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57" t="s">
        <v>9</v>
      </c>
      <c r="C26" s="31"/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57" t="s">
        <v>11</v>
      </c>
      <c r="C28" s="157"/>
      <c r="D28" s="157"/>
      <c r="E28" s="157"/>
      <c r="F28" s="157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/>
      <c r="D29" s="12"/>
      <c r="E29" s="12"/>
      <c r="F29" s="12"/>
      <c r="G29" s="186" t="s">
        <v>13</v>
      </c>
      <c r="H29" s="186"/>
      <c r="I29" s="186"/>
      <c r="J29" s="157"/>
      <c r="K29" s="157"/>
      <c r="L29" s="157"/>
      <c r="M29" s="157"/>
      <c r="N29" s="157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3460</v>
      </c>
      <c r="W30" s="142">
        <f>Q31+Q40</f>
        <v>2703.333333333333</v>
      </c>
      <c r="X30" s="142">
        <f>R31+R40</f>
        <v>2325</v>
      </c>
    </row>
    <row r="31" spans="2:24" ht="15.75" x14ac:dyDescent="0.25">
      <c r="B31" s="157"/>
      <c r="C31" s="198"/>
      <c r="D31" s="157"/>
      <c r="E31" s="198"/>
      <c r="F31" s="157" t="s">
        <v>102</v>
      </c>
      <c r="G31" s="18">
        <f>((G9*D9)+(P9*M9))/2</f>
        <v>2620</v>
      </c>
      <c r="H31" s="18">
        <f>((D9*H9)+(M9*Q9))/3</f>
        <v>1863.3333333333333</v>
      </c>
      <c r="I31" s="18">
        <f>((D9*I9)+(M9*R9))/4</f>
        <v>1485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840</v>
      </c>
      <c r="P31" s="18">
        <f>G31+O31</f>
        <v>3460</v>
      </c>
      <c r="Q31" s="18">
        <f>H31+O31</f>
        <v>2703.333333333333</v>
      </c>
      <c r="R31" s="18">
        <f>I31+O31</f>
        <v>2325</v>
      </c>
      <c r="S31" s="18">
        <f>J31+O31</f>
        <v>840</v>
      </c>
      <c r="T31" s="18"/>
    </row>
    <row r="32" spans="2:24" ht="15.75" x14ac:dyDescent="0.25">
      <c r="B32" s="157"/>
      <c r="C32" s="200"/>
      <c r="D32" s="157"/>
      <c r="E32" s="200"/>
      <c r="F32" s="15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57"/>
      <c r="C33" s="198"/>
      <c r="D33" s="157"/>
      <c r="E33" s="198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46"/>
      <c r="T33" s="20"/>
    </row>
    <row r="34" spans="2:20" ht="15.75" x14ac:dyDescent="0.25">
      <c r="B34" s="157"/>
      <c r="C34" s="200"/>
      <c r="D34" s="157"/>
      <c r="E34" s="200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46"/>
      <c r="T34" s="20"/>
    </row>
    <row r="35" spans="2:20" ht="15.75" x14ac:dyDescent="0.25">
      <c r="B35" s="157"/>
      <c r="C35" s="198"/>
      <c r="D35" s="157"/>
      <c r="E35" s="198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46"/>
      <c r="T35" s="20"/>
    </row>
    <row r="36" spans="2:20" ht="15.75" x14ac:dyDescent="0.25">
      <c r="B36" s="157"/>
      <c r="C36" s="200"/>
      <c r="D36" s="157"/>
      <c r="E36" s="200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46"/>
      <c r="T36" s="20"/>
    </row>
    <row r="37" spans="2:20" ht="18.75" x14ac:dyDescent="0.25">
      <c r="B37" s="157"/>
      <c r="C37" s="157"/>
      <c r="D37" s="157"/>
      <c r="E37" s="157"/>
      <c r="F37" s="157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57"/>
      <c r="S37" s="46"/>
      <c r="T37" s="20"/>
    </row>
    <row r="38" spans="2:20" ht="15.75" x14ac:dyDescent="0.25">
      <c r="B38" s="157"/>
      <c r="C38" s="157"/>
      <c r="D38" s="157"/>
      <c r="E38" s="157"/>
      <c r="F38" s="157"/>
      <c r="G38" s="186" t="s">
        <v>18</v>
      </c>
      <c r="H38" s="186"/>
      <c r="I38" s="186"/>
      <c r="J38" s="157"/>
      <c r="K38" s="157"/>
      <c r="L38" s="157"/>
      <c r="M38" s="157"/>
      <c r="N38" s="157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57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57"/>
      <c r="C40" s="198"/>
      <c r="D40" s="157"/>
      <c r="E40" s="198"/>
      <c r="F40" s="157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57"/>
      <c r="C41" s="200"/>
      <c r="D41" s="157"/>
      <c r="E41" s="200"/>
      <c r="F41" s="157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57"/>
      <c r="C42" s="158"/>
      <c r="D42" s="157"/>
      <c r="E42" s="158"/>
      <c r="F42" s="157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57"/>
      <c r="S42" s="46"/>
    </row>
    <row r="43" spans="2:20" ht="15.75" x14ac:dyDescent="0.25">
      <c r="B43" s="157"/>
      <c r="C43" s="158"/>
      <c r="D43" s="157"/>
      <c r="E43" s="158"/>
      <c r="F43" s="157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57"/>
      <c r="S43" s="46"/>
    </row>
    <row r="44" spans="2:20" ht="15.75" x14ac:dyDescent="0.25">
      <c r="B44" s="157"/>
      <c r="C44" s="158"/>
      <c r="D44" s="157"/>
      <c r="E44" s="158"/>
      <c r="F44" s="157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57"/>
      <c r="S44" s="46"/>
    </row>
    <row r="45" spans="2:20" ht="15.75" x14ac:dyDescent="0.25">
      <c r="B45" s="157"/>
      <c r="C45" s="198"/>
      <c r="D45" s="157"/>
      <c r="E45" s="198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46"/>
    </row>
    <row r="46" spans="2:20" ht="18.75" x14ac:dyDescent="0.25">
      <c r="B46" s="157"/>
      <c r="C46" s="200"/>
      <c r="D46" s="157"/>
      <c r="E46" s="200"/>
      <c r="F46" s="157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57"/>
      <c r="S46" s="46"/>
    </row>
    <row r="47" spans="2:20" ht="15.75" x14ac:dyDescent="0.25">
      <c r="B47" s="157"/>
      <c r="C47" s="198"/>
      <c r="D47" s="157"/>
      <c r="E47" s="198"/>
      <c r="F47" s="157"/>
      <c r="G47" s="186" t="s">
        <v>18</v>
      </c>
      <c r="H47" s="186"/>
      <c r="I47" s="186"/>
      <c r="J47" s="157"/>
      <c r="K47" s="157"/>
      <c r="L47" s="157"/>
      <c r="M47" s="157"/>
      <c r="N47" s="157"/>
      <c r="O47" s="12"/>
      <c r="P47" s="186" t="s">
        <v>14</v>
      </c>
      <c r="Q47" s="186"/>
      <c r="R47" s="186"/>
      <c r="S47" s="46"/>
    </row>
    <row r="48" spans="2:20" ht="15.75" x14ac:dyDescent="0.25">
      <c r="B48" s="157"/>
      <c r="C48" s="200"/>
      <c r="D48" s="157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57"/>
      <c r="C49" s="159"/>
      <c r="D49" s="157"/>
      <c r="E49" s="159"/>
      <c r="F49" s="157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57"/>
      <c r="C50" s="159"/>
      <c r="D50" s="157"/>
      <c r="E50" s="159"/>
      <c r="F50" s="157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57"/>
      <c r="C51" s="159"/>
      <c r="D51" s="157"/>
      <c r="E51" s="159"/>
      <c r="F51" s="157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57"/>
      <c r="C52" s="159"/>
      <c r="D52" s="157"/>
      <c r="E52" s="159"/>
      <c r="F52" s="157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57"/>
      <c r="C53" s="159"/>
      <c r="D53" s="157"/>
      <c r="E53" s="159"/>
      <c r="F53" s="157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  <mergeCell ref="C15:D15"/>
    <mergeCell ref="E15:F15"/>
    <mergeCell ref="G15:H15"/>
    <mergeCell ref="I7:I8"/>
    <mergeCell ref="J7:J8"/>
    <mergeCell ref="G28:Q28"/>
    <mergeCell ref="P7:P8"/>
    <mergeCell ref="Q7:Q8"/>
    <mergeCell ref="R7:R8"/>
    <mergeCell ref="S7:S8"/>
    <mergeCell ref="B16:B20"/>
    <mergeCell ref="C16:D16"/>
    <mergeCell ref="E16:F16"/>
    <mergeCell ref="G16:H16"/>
    <mergeCell ref="B27:R27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55:R61"/>
    <mergeCell ref="C45:C46"/>
    <mergeCell ref="E45:E46"/>
    <mergeCell ref="G46:Q46"/>
    <mergeCell ref="C47:C48"/>
    <mergeCell ref="E47:E48"/>
    <mergeCell ref="G47:I47"/>
    <mergeCell ref="P47:R4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973-BB1D-4822-B05C-950987D5861D}">
  <dimension ref="A2:X61"/>
  <sheetViews>
    <sheetView zoomScale="88" zoomScaleNormal="88" workbookViewId="0">
      <selection activeCell="L16" sqref="L16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67" t="s">
        <v>21</v>
      </c>
      <c r="F8" s="167" t="s">
        <v>22</v>
      </c>
      <c r="G8" s="201"/>
      <c r="H8" s="201"/>
      <c r="I8" s="201"/>
      <c r="J8" s="230"/>
      <c r="K8" s="202"/>
      <c r="L8" s="218"/>
      <c r="M8" s="218"/>
      <c r="N8" s="170" t="s">
        <v>21</v>
      </c>
      <c r="O8" s="170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68" t="s">
        <v>5</v>
      </c>
      <c r="C9" s="169" t="s">
        <v>103</v>
      </c>
      <c r="D9" s="10">
        <v>3</v>
      </c>
      <c r="E9" s="3" t="s">
        <v>104</v>
      </c>
      <c r="F9" s="3" t="s">
        <v>105</v>
      </c>
      <c r="G9" s="9">
        <v>640</v>
      </c>
      <c r="H9" s="9">
        <v>685</v>
      </c>
      <c r="I9" s="9">
        <v>730</v>
      </c>
      <c r="J9" s="9"/>
      <c r="K9" s="9" t="s">
        <v>29</v>
      </c>
      <c r="L9" s="10" t="s">
        <v>106</v>
      </c>
      <c r="M9" s="10">
        <v>4</v>
      </c>
      <c r="N9" s="3" t="s">
        <v>105</v>
      </c>
      <c r="O9" s="3">
        <v>46083</v>
      </c>
      <c r="P9" s="9">
        <v>295</v>
      </c>
      <c r="Q9" s="9">
        <v>355</v>
      </c>
      <c r="R9" s="9">
        <v>415</v>
      </c>
      <c r="S9" s="9"/>
      <c r="T9" s="9" t="s">
        <v>29</v>
      </c>
    </row>
    <row r="10" spans="1:20" ht="15.6" customHeight="1" x14ac:dyDescent="0.25">
      <c r="A10" s="17"/>
      <c r="B10" s="168" t="s">
        <v>19</v>
      </c>
      <c r="C10" s="169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68" t="s">
        <v>32</v>
      </c>
      <c r="C11" s="169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69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98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99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64"/>
      <c r="M17" s="164"/>
      <c r="N17" s="164"/>
      <c r="O17" s="164"/>
      <c r="P17" s="19"/>
      <c r="Q17" s="19"/>
      <c r="R17" s="19"/>
      <c r="S17" s="19"/>
      <c r="T17" s="16"/>
    </row>
    <row r="18" spans="2:24" ht="15.75" x14ac:dyDescent="0.25">
      <c r="B18" s="199"/>
      <c r="C18" s="30">
        <f>(2600*4)/145</f>
        <v>71.724137931034477</v>
      </c>
      <c r="D18" s="30"/>
      <c r="E18" s="27"/>
      <c r="F18" s="27"/>
      <c r="G18" s="32"/>
      <c r="H18" s="32"/>
      <c r="I18" s="19"/>
      <c r="J18" s="19"/>
      <c r="K18" s="19"/>
      <c r="L18" s="164"/>
      <c r="M18" s="164"/>
      <c r="N18" s="164"/>
      <c r="O18" s="164"/>
      <c r="P18" s="19"/>
      <c r="Q18" s="19"/>
      <c r="R18" s="19"/>
      <c r="S18" s="19"/>
      <c r="T18" s="16"/>
    </row>
    <row r="19" spans="2:24" ht="15.75" x14ac:dyDescent="0.25">
      <c r="B19" s="199"/>
      <c r="C19" s="30"/>
      <c r="D19" s="30"/>
      <c r="E19" s="27"/>
      <c r="F19" s="27"/>
      <c r="G19" s="32"/>
      <c r="H19" s="32"/>
      <c r="I19" s="19"/>
      <c r="J19" s="19"/>
      <c r="K19" s="19"/>
      <c r="L19" s="164"/>
      <c r="M19" s="164"/>
      <c r="N19" s="164"/>
      <c r="O19" s="164"/>
      <c r="P19" s="19"/>
      <c r="Q19" s="19"/>
      <c r="R19" s="19"/>
      <c r="S19" s="19"/>
      <c r="T19" s="16"/>
    </row>
    <row r="20" spans="2:24" ht="15.75" x14ac:dyDescent="0.25">
      <c r="B20" s="199"/>
      <c r="C20" s="30"/>
      <c r="D20" s="30"/>
      <c r="E20" s="27"/>
      <c r="F20" s="27"/>
      <c r="G20" s="32"/>
      <c r="H20" s="32"/>
      <c r="I20" s="19"/>
      <c r="J20" s="19"/>
      <c r="K20" s="19"/>
      <c r="L20" s="164"/>
      <c r="M20" s="164"/>
      <c r="N20" s="164"/>
      <c r="O20" s="164"/>
      <c r="P20" s="19"/>
      <c r="Q20" s="19"/>
      <c r="R20" s="19"/>
      <c r="S20" s="19"/>
      <c r="T20" s="16"/>
    </row>
    <row r="21" spans="2:24" ht="15.75" x14ac:dyDescent="0.25">
      <c r="B21" s="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64"/>
      <c r="M21" s="164"/>
      <c r="N21" s="164"/>
      <c r="O21" s="164"/>
      <c r="P21" s="19"/>
      <c r="Q21" s="19"/>
      <c r="R21" s="19"/>
      <c r="S21" s="19"/>
      <c r="T21" s="16"/>
    </row>
    <row r="22" spans="2:24" ht="15.75" x14ac:dyDescent="0.25">
      <c r="B22" s="164" t="s">
        <v>7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64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64" t="s">
        <v>37</v>
      </c>
      <c r="C24" s="31">
        <f>39*3.75</f>
        <v>146.25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64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64" t="s">
        <v>9</v>
      </c>
      <c r="C26" s="31">
        <v>30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64" t="s">
        <v>11</v>
      </c>
      <c r="C28" s="164"/>
      <c r="D28" s="164"/>
      <c r="E28" s="164"/>
      <c r="F28" s="164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/>
      <c r="D29" s="12"/>
      <c r="E29" s="12"/>
      <c r="F29" s="12"/>
      <c r="G29" s="186" t="s">
        <v>13</v>
      </c>
      <c r="H29" s="186"/>
      <c r="I29" s="186"/>
      <c r="J29" s="164"/>
      <c r="K29" s="164"/>
      <c r="L29" s="164"/>
      <c r="M29" s="164"/>
      <c r="N29" s="164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2282.9741379310344</v>
      </c>
      <c r="W30" s="142">
        <f>Q31+Q40</f>
        <v>1891.3074712643677</v>
      </c>
      <c r="X30" s="142">
        <f>R31+R40</f>
        <v>1695.4741379310344</v>
      </c>
    </row>
    <row r="31" spans="2:24" ht="15.75" x14ac:dyDescent="0.25">
      <c r="B31" s="164"/>
      <c r="C31" s="198"/>
      <c r="D31" s="164"/>
      <c r="E31" s="198"/>
      <c r="F31" s="164" t="s">
        <v>107</v>
      </c>
      <c r="G31" s="18">
        <f>((G9*D9)+(P9*M9))/2</f>
        <v>1550</v>
      </c>
      <c r="H31" s="18">
        <f>((D9*H9)+(M9*Q9))/3</f>
        <v>1158.3333333333333</v>
      </c>
      <c r="I31" s="18">
        <f>((D9*I9)+(M9*R9))/4</f>
        <v>962.5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732.97413793103442</v>
      </c>
      <c r="P31" s="18">
        <f>G31+O31</f>
        <v>2282.9741379310344</v>
      </c>
      <c r="Q31" s="18">
        <f>H31+O31</f>
        <v>1891.3074712643677</v>
      </c>
      <c r="R31" s="18">
        <f>I31+O31</f>
        <v>1695.4741379310344</v>
      </c>
      <c r="S31" s="18">
        <f>J31+O31</f>
        <v>732.97413793103442</v>
      </c>
      <c r="T31" s="18"/>
    </row>
    <row r="32" spans="2:24" ht="15.75" x14ac:dyDescent="0.25">
      <c r="B32" s="164"/>
      <c r="C32" s="200"/>
      <c r="D32" s="164"/>
      <c r="E32" s="200"/>
      <c r="F32" s="16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64"/>
      <c r="C33" s="198"/>
      <c r="D33" s="164"/>
      <c r="E33" s="198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46"/>
      <c r="T33" s="20"/>
    </row>
    <row r="34" spans="2:20" ht="15.75" x14ac:dyDescent="0.25">
      <c r="B34" s="164"/>
      <c r="C34" s="200"/>
      <c r="D34" s="164"/>
      <c r="E34" s="200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46"/>
      <c r="T34" s="20"/>
    </row>
    <row r="35" spans="2:20" ht="15.75" x14ac:dyDescent="0.25">
      <c r="B35" s="164"/>
      <c r="C35" s="198"/>
      <c r="D35" s="164"/>
      <c r="E35" s="198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46"/>
      <c r="T35" s="20"/>
    </row>
    <row r="36" spans="2:20" ht="15.75" x14ac:dyDescent="0.25">
      <c r="B36" s="164"/>
      <c r="C36" s="200"/>
      <c r="D36" s="164"/>
      <c r="E36" s="200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46"/>
      <c r="T36" s="20"/>
    </row>
    <row r="37" spans="2:20" ht="18.75" x14ac:dyDescent="0.25">
      <c r="B37" s="164"/>
      <c r="C37" s="164"/>
      <c r="D37" s="164"/>
      <c r="E37" s="164"/>
      <c r="F37" s="164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64"/>
      <c r="S37" s="46"/>
      <c r="T37" s="20"/>
    </row>
    <row r="38" spans="2:20" ht="15.75" x14ac:dyDescent="0.25">
      <c r="B38" s="164"/>
      <c r="C38" s="164"/>
      <c r="D38" s="164"/>
      <c r="E38" s="164"/>
      <c r="F38" s="164"/>
      <c r="G38" s="186" t="s">
        <v>18</v>
      </c>
      <c r="H38" s="186"/>
      <c r="I38" s="186"/>
      <c r="J38" s="164"/>
      <c r="K38" s="164"/>
      <c r="L38" s="164"/>
      <c r="M38" s="164"/>
      <c r="N38" s="164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64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64"/>
      <c r="C40" s="198"/>
      <c r="D40" s="164"/>
      <c r="E40" s="198"/>
      <c r="F40" s="164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64"/>
      <c r="C41" s="200"/>
      <c r="D41" s="164"/>
      <c r="E41" s="200"/>
      <c r="F41" s="164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64"/>
      <c r="C42" s="165"/>
      <c r="D42" s="164"/>
      <c r="E42" s="165"/>
      <c r="F42" s="16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64"/>
      <c r="S42" s="46"/>
    </row>
    <row r="43" spans="2:20" ht="15.75" x14ac:dyDescent="0.25">
      <c r="B43" s="164"/>
      <c r="C43" s="165"/>
      <c r="D43" s="164"/>
      <c r="E43" s="165"/>
      <c r="F43" s="16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64"/>
      <c r="S43" s="46"/>
    </row>
    <row r="44" spans="2:20" ht="15.75" x14ac:dyDescent="0.25">
      <c r="B44" s="164"/>
      <c r="C44" s="165"/>
      <c r="D44" s="164"/>
      <c r="E44" s="165"/>
      <c r="F44" s="164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64"/>
      <c r="S44" s="46"/>
    </row>
    <row r="45" spans="2:20" ht="15.75" x14ac:dyDescent="0.25">
      <c r="B45" s="164"/>
      <c r="C45" s="198"/>
      <c r="D45" s="164"/>
      <c r="E45" s="198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46"/>
    </row>
    <row r="46" spans="2:20" ht="18.75" x14ac:dyDescent="0.25">
      <c r="B46" s="164"/>
      <c r="C46" s="200"/>
      <c r="D46" s="164"/>
      <c r="E46" s="200"/>
      <c r="F46" s="164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64"/>
      <c r="S46" s="46"/>
    </row>
    <row r="47" spans="2:20" ht="15.75" x14ac:dyDescent="0.25">
      <c r="B47" s="164"/>
      <c r="C47" s="198"/>
      <c r="D47" s="164"/>
      <c r="E47" s="198"/>
      <c r="F47" s="164"/>
      <c r="G47" s="186" t="s">
        <v>18</v>
      </c>
      <c r="H47" s="186"/>
      <c r="I47" s="186"/>
      <c r="J47" s="164"/>
      <c r="K47" s="164"/>
      <c r="L47" s="164"/>
      <c r="M47" s="164"/>
      <c r="N47" s="164"/>
      <c r="O47" s="12"/>
      <c r="P47" s="186" t="s">
        <v>14</v>
      </c>
      <c r="Q47" s="186"/>
      <c r="R47" s="186"/>
      <c r="S47" s="46"/>
    </row>
    <row r="48" spans="2:20" ht="15.75" x14ac:dyDescent="0.25">
      <c r="B48" s="164"/>
      <c r="C48" s="200"/>
      <c r="D48" s="164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64"/>
      <c r="C49" s="166"/>
      <c r="D49" s="164"/>
      <c r="E49" s="166"/>
      <c r="F49" s="164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64"/>
      <c r="C50" s="166"/>
      <c r="D50" s="164"/>
      <c r="E50" s="166"/>
      <c r="F50" s="164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64"/>
      <c r="C51" s="166"/>
      <c r="D51" s="164"/>
      <c r="E51" s="166"/>
      <c r="F51" s="16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64"/>
      <c r="C52" s="166"/>
      <c r="D52" s="164"/>
      <c r="E52" s="166"/>
      <c r="F52" s="16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64"/>
      <c r="C53" s="166"/>
      <c r="D53" s="164"/>
      <c r="E53" s="166"/>
      <c r="F53" s="16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  <mergeCell ref="C15:D15"/>
    <mergeCell ref="E15:F15"/>
    <mergeCell ref="G15:H15"/>
    <mergeCell ref="I7:I8"/>
    <mergeCell ref="J7:J8"/>
    <mergeCell ref="G28:Q28"/>
    <mergeCell ref="P7:P8"/>
    <mergeCell ref="Q7:Q8"/>
    <mergeCell ref="R7:R8"/>
    <mergeCell ref="S7:S8"/>
    <mergeCell ref="B16:B20"/>
    <mergeCell ref="C16:D16"/>
    <mergeCell ref="E16:F16"/>
    <mergeCell ref="G16:H16"/>
    <mergeCell ref="B27:R27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55:R61"/>
    <mergeCell ref="C45:C46"/>
    <mergeCell ref="E45:E46"/>
    <mergeCell ref="G46:Q46"/>
    <mergeCell ref="C47:C48"/>
    <mergeCell ref="E47:E48"/>
    <mergeCell ref="G47:I47"/>
    <mergeCell ref="P47:R4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CCA2-DB46-436D-90C5-FD36D99F832E}">
  <dimension ref="A2:X61"/>
  <sheetViews>
    <sheetView zoomScale="88" zoomScaleNormal="88" workbookViewId="0">
      <selection activeCell="C21" sqref="C21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76" t="s">
        <v>21</v>
      </c>
      <c r="F8" s="176" t="s">
        <v>22</v>
      </c>
      <c r="G8" s="201"/>
      <c r="H8" s="201"/>
      <c r="I8" s="201"/>
      <c r="J8" s="230"/>
      <c r="K8" s="202"/>
      <c r="L8" s="218"/>
      <c r="M8" s="218"/>
      <c r="N8" s="175" t="s">
        <v>21</v>
      </c>
      <c r="O8" s="175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73" t="s">
        <v>5</v>
      </c>
      <c r="C9" s="174" t="s">
        <v>116</v>
      </c>
      <c r="D9" s="10">
        <v>3</v>
      </c>
      <c r="E9" s="3" t="s">
        <v>119</v>
      </c>
      <c r="F9" s="3" t="s">
        <v>104</v>
      </c>
      <c r="G9" s="9">
        <v>765</v>
      </c>
      <c r="H9" s="9">
        <v>810</v>
      </c>
      <c r="I9" s="9">
        <v>855</v>
      </c>
      <c r="J9" s="9"/>
      <c r="K9" s="9" t="s">
        <v>29</v>
      </c>
      <c r="L9" s="10" t="s">
        <v>117</v>
      </c>
      <c r="M9" s="10">
        <v>5</v>
      </c>
      <c r="N9" s="3" t="s">
        <v>118</v>
      </c>
      <c r="O9" s="3" t="s">
        <v>119</v>
      </c>
      <c r="P9" s="9">
        <v>850</v>
      </c>
      <c r="Q9" s="9">
        <v>950</v>
      </c>
      <c r="R9" s="9">
        <v>1050</v>
      </c>
      <c r="S9" s="9"/>
      <c r="T9" s="9" t="s">
        <v>29</v>
      </c>
    </row>
    <row r="10" spans="1:20" ht="15.6" customHeight="1" x14ac:dyDescent="0.25">
      <c r="A10" s="17"/>
      <c r="B10" s="173" t="s">
        <v>19</v>
      </c>
      <c r="C10" s="174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73" t="s">
        <v>32</v>
      </c>
      <c r="C11" s="174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74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72"/>
      <c r="M17" s="172"/>
      <c r="N17" s="172"/>
      <c r="O17" s="172"/>
      <c r="P17" s="19"/>
      <c r="Q17" s="19"/>
      <c r="R17" s="19"/>
      <c r="S17" s="19"/>
      <c r="T17" s="16"/>
    </row>
    <row r="18" spans="2:24" ht="15.75" x14ac:dyDescent="0.25">
      <c r="B18" s="186"/>
      <c r="C18" s="30"/>
      <c r="D18" s="30"/>
      <c r="E18" s="27"/>
      <c r="F18" s="27"/>
      <c r="G18" s="32"/>
      <c r="H18" s="32"/>
      <c r="I18" s="19"/>
      <c r="J18" s="19"/>
      <c r="K18" s="19"/>
      <c r="L18" s="172"/>
      <c r="M18" s="172"/>
      <c r="N18" s="172"/>
      <c r="O18" s="172"/>
      <c r="P18" s="19"/>
      <c r="Q18" s="19"/>
      <c r="R18" s="19"/>
      <c r="S18" s="19"/>
      <c r="T18" s="16"/>
    </row>
    <row r="19" spans="2:24" ht="15.75" x14ac:dyDescent="0.25">
      <c r="B19" s="172" t="s">
        <v>108</v>
      </c>
      <c r="C19" s="30">
        <f>(300*9)/9</f>
        <v>300</v>
      </c>
      <c r="D19" s="30">
        <v>0</v>
      </c>
      <c r="E19" s="27"/>
      <c r="F19" s="27"/>
      <c r="G19" s="32"/>
      <c r="H19" s="32"/>
      <c r="I19" s="19"/>
      <c r="J19" s="19"/>
      <c r="K19" s="19"/>
      <c r="L19" s="172"/>
      <c r="M19" s="172"/>
      <c r="N19" s="172"/>
      <c r="O19" s="172"/>
      <c r="P19" s="19"/>
      <c r="Q19" s="19"/>
      <c r="R19" s="19"/>
      <c r="S19" s="19"/>
      <c r="T19" s="16"/>
    </row>
    <row r="20" spans="2:24" ht="15.75" x14ac:dyDescent="0.25">
      <c r="B20" s="172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72"/>
      <c r="M20" s="172"/>
      <c r="N20" s="172"/>
      <c r="O20" s="172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>
        <v>300</v>
      </c>
      <c r="D21" s="30">
        <v>0</v>
      </c>
      <c r="E21" s="27"/>
      <c r="F21" s="27"/>
      <c r="G21" s="32"/>
      <c r="H21" s="32"/>
      <c r="I21" s="19"/>
      <c r="J21" s="19"/>
      <c r="K21" s="19"/>
      <c r="L21" s="172"/>
      <c r="M21" s="172"/>
      <c r="N21" s="172"/>
      <c r="O21" s="172"/>
      <c r="P21" s="19"/>
      <c r="Q21" s="19"/>
      <c r="R21" s="19"/>
      <c r="S21" s="19"/>
      <c r="T21" s="16"/>
    </row>
    <row r="22" spans="2:24" ht="15.75" x14ac:dyDescent="0.25">
      <c r="B22" s="172" t="s">
        <v>69</v>
      </c>
      <c r="C22" s="30">
        <f>2000/9</f>
        <v>222.22222222222223</v>
      </c>
      <c r="D22" s="31">
        <v>0</v>
      </c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72" t="s">
        <v>30</v>
      </c>
      <c r="C23" s="30">
        <v>485</v>
      </c>
      <c r="D23" s="31">
        <v>0</v>
      </c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72" t="s">
        <v>37</v>
      </c>
      <c r="C24" s="31">
        <f>118*3.75</f>
        <v>442.5</v>
      </c>
      <c r="D24" s="31">
        <v>0</v>
      </c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72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72" t="s">
        <v>9</v>
      </c>
      <c r="C26" s="31">
        <v>50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72" t="s">
        <v>11</v>
      </c>
      <c r="C28" s="172"/>
      <c r="D28" s="172"/>
      <c r="E28" s="172"/>
      <c r="F28" s="172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72"/>
      <c r="K29" s="172"/>
      <c r="L29" s="172"/>
      <c r="M29" s="172"/>
      <c r="N29" s="172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5072.2222222222226</v>
      </c>
      <c r="W30" s="142">
        <f>Q31+Q40</f>
        <v>4193.0555555555557</v>
      </c>
      <c r="X30" s="142">
        <f>R31+R40</f>
        <v>3753.4722222222222</v>
      </c>
    </row>
    <row r="31" spans="2:24" ht="15.75" x14ac:dyDescent="0.25">
      <c r="B31" s="172"/>
      <c r="C31" s="198"/>
      <c r="D31" s="172"/>
      <c r="E31" s="198"/>
      <c r="F31" s="172" t="s">
        <v>120</v>
      </c>
      <c r="G31" s="18">
        <f>((G9*D9)+(P9*M9))/2</f>
        <v>3272.5</v>
      </c>
      <c r="H31" s="18">
        <f>((D9*H9)+(M9*Q9))/3</f>
        <v>2393.3333333333335</v>
      </c>
      <c r="I31" s="18">
        <f>((D9*I9)+(M9*R9))/4</f>
        <v>1953.75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1799.7222222222222</v>
      </c>
      <c r="P31" s="18">
        <f>G31+O31</f>
        <v>5072.2222222222226</v>
      </c>
      <c r="Q31" s="18">
        <f>H31+O31</f>
        <v>4193.0555555555557</v>
      </c>
      <c r="R31" s="18">
        <f>I31+O31</f>
        <v>3753.4722222222222</v>
      </c>
      <c r="S31" s="18">
        <f>J31+O31</f>
        <v>1799.7222222222222</v>
      </c>
      <c r="T31" s="18"/>
    </row>
    <row r="32" spans="2:24" ht="15.75" x14ac:dyDescent="0.25">
      <c r="B32" s="172"/>
      <c r="C32" s="200"/>
      <c r="D32" s="172"/>
      <c r="E32" s="200"/>
      <c r="F32" s="172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72"/>
      <c r="C33" s="198"/>
      <c r="D33" s="172"/>
      <c r="E33" s="198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</row>
    <row r="34" spans="2:20" ht="15.75" x14ac:dyDescent="0.25">
      <c r="B34" s="172"/>
      <c r="C34" s="200"/>
      <c r="D34" s="172"/>
      <c r="E34" s="200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</row>
    <row r="35" spans="2:20" ht="15.75" x14ac:dyDescent="0.25">
      <c r="B35" s="172"/>
      <c r="C35" s="198"/>
      <c r="D35" s="172"/>
      <c r="E35" s="198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</row>
    <row r="36" spans="2:20" ht="15.75" x14ac:dyDescent="0.25">
      <c r="B36" s="172"/>
      <c r="C36" s="200"/>
      <c r="D36" s="172"/>
      <c r="E36" s="200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</row>
    <row r="37" spans="2:20" ht="18.75" x14ac:dyDescent="0.25">
      <c r="B37" s="172"/>
      <c r="C37" s="172"/>
      <c r="D37" s="172"/>
      <c r="E37" s="172"/>
      <c r="F37" s="172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72"/>
      <c r="S37" s="172"/>
      <c r="T37" s="172"/>
    </row>
    <row r="38" spans="2:20" ht="15.75" x14ac:dyDescent="0.25">
      <c r="B38" s="172"/>
      <c r="C38" s="172"/>
      <c r="D38" s="172"/>
      <c r="E38" s="172"/>
      <c r="F38" s="172"/>
      <c r="G38" s="186" t="s">
        <v>18</v>
      </c>
      <c r="H38" s="186"/>
      <c r="I38" s="186"/>
      <c r="J38" s="172"/>
      <c r="K38" s="172"/>
      <c r="L38" s="172"/>
      <c r="M38" s="172"/>
      <c r="N38" s="172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72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72"/>
      <c r="C40" s="198"/>
      <c r="D40" s="172"/>
      <c r="E40" s="198"/>
      <c r="F40" s="172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72"/>
      <c r="C41" s="200"/>
      <c r="D41" s="172"/>
      <c r="E41" s="200"/>
      <c r="F41" s="172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72"/>
      <c r="C42" s="177"/>
      <c r="D42" s="172"/>
      <c r="E42" s="177"/>
      <c r="F42" s="17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72"/>
      <c r="S42" s="46"/>
    </row>
    <row r="43" spans="2:20" ht="15.75" x14ac:dyDescent="0.25">
      <c r="B43" s="172"/>
      <c r="C43" s="177"/>
      <c r="D43" s="172"/>
      <c r="E43" s="177"/>
      <c r="F43" s="172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72"/>
      <c r="S43" s="46"/>
    </row>
    <row r="44" spans="2:20" ht="15.75" x14ac:dyDescent="0.25">
      <c r="B44" s="172"/>
      <c r="C44" s="177"/>
      <c r="D44" s="172"/>
      <c r="E44" s="177"/>
      <c r="F44" s="172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72"/>
      <c r="S44" s="46"/>
    </row>
    <row r="45" spans="2:20" ht="15.75" x14ac:dyDescent="0.25">
      <c r="B45" s="172"/>
      <c r="C45" s="198"/>
      <c r="D45" s="172"/>
      <c r="E45" s="198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46"/>
    </row>
    <row r="46" spans="2:20" ht="18.75" x14ac:dyDescent="0.25">
      <c r="B46" s="172"/>
      <c r="C46" s="200"/>
      <c r="D46" s="172"/>
      <c r="E46" s="200"/>
      <c r="F46" s="172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72"/>
      <c r="S46" s="46"/>
    </row>
    <row r="47" spans="2:20" ht="15.75" x14ac:dyDescent="0.25">
      <c r="B47" s="172"/>
      <c r="C47" s="198"/>
      <c r="D47" s="172"/>
      <c r="E47" s="198"/>
      <c r="F47" s="172"/>
      <c r="G47" s="186" t="s">
        <v>18</v>
      </c>
      <c r="H47" s="186"/>
      <c r="I47" s="186"/>
      <c r="J47" s="172"/>
      <c r="K47" s="172"/>
      <c r="L47" s="172"/>
      <c r="M47" s="172"/>
      <c r="N47" s="172"/>
      <c r="O47" s="12"/>
      <c r="P47" s="186" t="s">
        <v>14</v>
      </c>
      <c r="Q47" s="186"/>
      <c r="R47" s="186"/>
      <c r="S47" s="46"/>
    </row>
    <row r="48" spans="2:20" ht="15.75" x14ac:dyDescent="0.25">
      <c r="B48" s="172"/>
      <c r="C48" s="200"/>
      <c r="D48" s="172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72"/>
      <c r="C49" s="171"/>
      <c r="D49" s="172"/>
      <c r="E49" s="171"/>
      <c r="F49" s="172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72"/>
      <c r="C50" s="171"/>
      <c r="D50" s="172"/>
      <c r="E50" s="171"/>
      <c r="F50" s="172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72"/>
      <c r="C51" s="171"/>
      <c r="D51" s="172"/>
      <c r="E51" s="171"/>
      <c r="F51" s="17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72"/>
      <c r="C52" s="171"/>
      <c r="D52" s="172"/>
      <c r="E52" s="171"/>
      <c r="F52" s="17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72"/>
      <c r="C53" s="171"/>
      <c r="D53" s="172"/>
      <c r="E53" s="171"/>
      <c r="F53" s="172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C15:D15"/>
    <mergeCell ref="E15:F15"/>
    <mergeCell ref="G15:H15"/>
    <mergeCell ref="I7:I8"/>
    <mergeCell ref="J7:J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E56F-6C56-4719-8C1A-00EC588C095E}">
  <dimension ref="A2:X61"/>
  <sheetViews>
    <sheetView tabSelected="1" topLeftCell="A4" zoomScale="88" zoomScaleNormal="88" workbookViewId="0">
      <selection activeCell="C30" sqref="C30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67" t="s">
        <v>21</v>
      </c>
      <c r="F8" s="167" t="s">
        <v>22</v>
      </c>
      <c r="G8" s="201"/>
      <c r="H8" s="201"/>
      <c r="I8" s="201"/>
      <c r="J8" s="230"/>
      <c r="K8" s="202"/>
      <c r="L8" s="218"/>
      <c r="M8" s="218"/>
      <c r="N8" s="170" t="s">
        <v>21</v>
      </c>
      <c r="O8" s="170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68" t="s">
        <v>5</v>
      </c>
      <c r="C9" s="169" t="s">
        <v>110</v>
      </c>
      <c r="D9" s="10">
        <v>3</v>
      </c>
      <c r="E9" s="3" t="s">
        <v>104</v>
      </c>
      <c r="F9" s="3" t="s">
        <v>105</v>
      </c>
      <c r="G9" s="9">
        <v>790</v>
      </c>
      <c r="H9" s="9">
        <v>835</v>
      </c>
      <c r="I9" s="9">
        <v>880</v>
      </c>
      <c r="J9" s="9"/>
      <c r="K9" s="9" t="s">
        <v>29</v>
      </c>
      <c r="L9" s="10" t="s">
        <v>106</v>
      </c>
      <c r="M9" s="10">
        <v>4</v>
      </c>
      <c r="N9" s="3" t="s">
        <v>105</v>
      </c>
      <c r="O9" s="3">
        <v>46083</v>
      </c>
      <c r="P9" s="9">
        <v>290</v>
      </c>
      <c r="Q9" s="9">
        <v>345</v>
      </c>
      <c r="R9" s="9">
        <v>400</v>
      </c>
      <c r="S9" s="9"/>
      <c r="T9" s="9" t="s">
        <v>29</v>
      </c>
    </row>
    <row r="10" spans="1:20" ht="15.6" customHeight="1" x14ac:dyDescent="0.25">
      <c r="A10" s="17"/>
      <c r="B10" s="168" t="s">
        <v>19</v>
      </c>
      <c r="C10" s="169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68" t="s">
        <v>32</v>
      </c>
      <c r="C11" s="169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69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64"/>
      <c r="M17" s="164"/>
      <c r="N17" s="164"/>
      <c r="O17" s="164"/>
      <c r="P17" s="19"/>
      <c r="Q17" s="19"/>
      <c r="R17" s="19"/>
      <c r="S17" s="19"/>
      <c r="T17" s="16"/>
    </row>
    <row r="18" spans="2:24" ht="15.75" x14ac:dyDescent="0.25">
      <c r="B18" s="186"/>
      <c r="C18" s="30">
        <f>(2600*4)/190</f>
        <v>54.736842105263158</v>
      </c>
      <c r="D18" s="30">
        <v>0</v>
      </c>
      <c r="E18" s="27"/>
      <c r="F18" s="27"/>
      <c r="G18" s="32"/>
      <c r="H18" s="32"/>
      <c r="I18" s="19"/>
      <c r="J18" s="19"/>
      <c r="K18" s="19"/>
      <c r="L18" s="164"/>
      <c r="M18" s="164"/>
      <c r="N18" s="164"/>
      <c r="O18" s="164"/>
      <c r="P18" s="19"/>
      <c r="Q18" s="19"/>
      <c r="R18" s="19"/>
      <c r="S18" s="19"/>
      <c r="T18" s="16"/>
    </row>
    <row r="19" spans="2:24" ht="15.75" x14ac:dyDescent="0.25">
      <c r="B19" s="172" t="s">
        <v>108</v>
      </c>
      <c r="C19" s="30">
        <f>(300*4*7)/190</f>
        <v>44.210526315789473</v>
      </c>
      <c r="D19" s="30"/>
      <c r="E19" s="27"/>
      <c r="F19" s="27"/>
      <c r="G19" s="32"/>
      <c r="H19" s="32"/>
      <c r="I19" s="19"/>
      <c r="J19" s="19"/>
      <c r="K19" s="19"/>
      <c r="L19" s="164"/>
      <c r="M19" s="164"/>
      <c r="N19" s="164"/>
      <c r="O19" s="164"/>
      <c r="P19" s="19"/>
      <c r="Q19" s="19"/>
      <c r="R19" s="19"/>
      <c r="S19" s="19"/>
      <c r="T19" s="16"/>
    </row>
    <row r="20" spans="2:24" ht="15.75" x14ac:dyDescent="0.25">
      <c r="B20" s="172" t="s">
        <v>109</v>
      </c>
      <c r="C20" s="30">
        <v>34</v>
      </c>
      <c r="D20" s="30"/>
      <c r="E20" s="27"/>
      <c r="F20" s="27"/>
      <c r="G20" s="32"/>
      <c r="H20" s="32"/>
      <c r="I20" s="19"/>
      <c r="J20" s="19"/>
      <c r="K20" s="19"/>
      <c r="L20" s="164"/>
      <c r="M20" s="164"/>
      <c r="N20" s="164"/>
      <c r="O20" s="164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>
        <v>0</v>
      </c>
      <c r="E21" s="27"/>
      <c r="F21" s="27"/>
      <c r="G21" s="32"/>
      <c r="H21" s="32"/>
      <c r="I21" s="19"/>
      <c r="J21" s="19"/>
      <c r="K21" s="19"/>
      <c r="L21" s="164"/>
      <c r="M21" s="164"/>
      <c r="N21" s="164"/>
      <c r="O21" s="164"/>
      <c r="P21" s="19"/>
      <c r="Q21" s="19"/>
      <c r="R21" s="19"/>
      <c r="S21" s="19"/>
      <c r="T21" s="16"/>
    </row>
    <row r="22" spans="2:24" ht="15.75" x14ac:dyDescent="0.25">
      <c r="B22" s="172" t="s">
        <v>69</v>
      </c>
      <c r="C22" s="31">
        <f>1900/190</f>
        <v>10</v>
      </c>
      <c r="D22" s="31">
        <v>0</v>
      </c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72" t="s">
        <v>30</v>
      </c>
      <c r="C23" s="30">
        <v>485</v>
      </c>
      <c r="D23" s="31">
        <v>0</v>
      </c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72" t="s">
        <v>37</v>
      </c>
      <c r="C24" s="31">
        <f>39*3.75</f>
        <v>146.25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72" t="s">
        <v>57</v>
      </c>
      <c r="C25" s="31">
        <f>(400*4)/190</f>
        <v>8.4210526315789469</v>
      </c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72" t="s">
        <v>9</v>
      </c>
      <c r="C26" s="31">
        <v>38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64" t="s">
        <v>11</v>
      </c>
      <c r="C28" s="164"/>
      <c r="D28" s="164"/>
      <c r="E28" s="164"/>
      <c r="F28" s="164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64"/>
      <c r="K29" s="164"/>
      <c r="L29" s="164"/>
      <c r="M29" s="164"/>
      <c r="N29" s="164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2585.6184210526317</v>
      </c>
      <c r="W30" s="142">
        <f>Q31+Q40</f>
        <v>2115.6184210526317</v>
      </c>
      <c r="X30" s="142">
        <f>R31+R40</f>
        <v>1880.6184210526317</v>
      </c>
    </row>
    <row r="31" spans="2:24" ht="15.75" x14ac:dyDescent="0.25">
      <c r="B31" s="164"/>
      <c r="C31" s="198"/>
      <c r="D31" s="164"/>
      <c r="E31" s="198"/>
      <c r="F31" s="164" t="s">
        <v>136</v>
      </c>
      <c r="G31" s="18">
        <f>((G9*D9)+(P9*M9))/2</f>
        <v>1765</v>
      </c>
      <c r="H31" s="18">
        <f>((D9*H9)+(M9*Q9))/3</f>
        <v>1295</v>
      </c>
      <c r="I31" s="18">
        <f>((D9*I9)+(M9*R9))/4</f>
        <v>1060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820.61842105263156</v>
      </c>
      <c r="P31" s="18">
        <f>G31+O31</f>
        <v>2585.6184210526317</v>
      </c>
      <c r="Q31" s="18">
        <f>H31+O31</f>
        <v>2115.6184210526317</v>
      </c>
      <c r="R31" s="18">
        <f>I31+O31</f>
        <v>1880.6184210526317</v>
      </c>
      <c r="S31" s="18">
        <f>J31+O31</f>
        <v>820.61842105263156</v>
      </c>
      <c r="T31" s="18"/>
    </row>
    <row r="32" spans="2:24" ht="15.75" x14ac:dyDescent="0.25">
      <c r="B32" s="164"/>
      <c r="C32" s="200"/>
      <c r="D32" s="164"/>
      <c r="E32" s="200"/>
      <c r="F32" s="164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64"/>
      <c r="C33" s="198"/>
      <c r="D33" s="164"/>
      <c r="E33" s="198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46"/>
      <c r="T33" s="20"/>
    </row>
    <row r="34" spans="2:20" ht="15.75" x14ac:dyDescent="0.25">
      <c r="B34" s="164"/>
      <c r="C34" s="200"/>
      <c r="D34" s="164"/>
      <c r="E34" s="200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 t="s">
        <v>92</v>
      </c>
      <c r="R34" s="164"/>
      <c r="S34" s="46"/>
      <c r="T34" s="20"/>
    </row>
    <row r="35" spans="2:20" ht="15.75" x14ac:dyDescent="0.25">
      <c r="B35" s="164"/>
      <c r="C35" s="198"/>
      <c r="D35" s="164"/>
      <c r="E35" s="198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46"/>
      <c r="T35" s="20"/>
    </row>
    <row r="36" spans="2:20" ht="15.75" x14ac:dyDescent="0.25">
      <c r="B36" s="164"/>
      <c r="C36" s="200"/>
      <c r="D36" s="164"/>
      <c r="E36" s="200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46"/>
      <c r="T36" s="20"/>
    </row>
    <row r="37" spans="2:20" ht="18.75" x14ac:dyDescent="0.25">
      <c r="B37" s="164"/>
      <c r="C37" s="164"/>
      <c r="D37" s="164"/>
      <c r="E37" s="164"/>
      <c r="F37" s="164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64"/>
      <c r="S37" s="46"/>
      <c r="T37" s="20"/>
    </row>
    <row r="38" spans="2:20" ht="15.75" x14ac:dyDescent="0.25">
      <c r="B38" s="164"/>
      <c r="C38" s="164"/>
      <c r="D38" s="164"/>
      <c r="E38" s="164"/>
      <c r="F38" s="164"/>
      <c r="G38" s="186" t="s">
        <v>18</v>
      </c>
      <c r="H38" s="186"/>
      <c r="I38" s="186"/>
      <c r="J38" s="164"/>
      <c r="K38" s="164"/>
      <c r="L38" s="164"/>
      <c r="M38" s="164"/>
      <c r="N38" s="164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64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64"/>
      <c r="C40" s="198"/>
      <c r="D40" s="164"/>
      <c r="E40" s="198"/>
      <c r="F40" s="164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64"/>
      <c r="C41" s="200"/>
      <c r="D41" s="164"/>
      <c r="E41" s="200"/>
      <c r="F41" s="164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64"/>
      <c r="C42" s="165"/>
      <c r="D42" s="164"/>
      <c r="E42" s="165"/>
      <c r="F42" s="164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64"/>
      <c r="S42" s="46"/>
    </row>
    <row r="43" spans="2:20" ht="15.75" x14ac:dyDescent="0.25">
      <c r="B43" s="164"/>
      <c r="C43" s="165"/>
      <c r="D43" s="164"/>
      <c r="E43" s="165"/>
      <c r="F43" s="164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64"/>
      <c r="S43" s="46"/>
    </row>
    <row r="44" spans="2:20" ht="15.75" x14ac:dyDescent="0.25">
      <c r="B44" s="164"/>
      <c r="C44" s="165"/>
      <c r="D44" s="164"/>
      <c r="E44" s="165"/>
      <c r="F44" s="164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64"/>
      <c r="S44" s="46"/>
    </row>
    <row r="45" spans="2:20" ht="15.75" x14ac:dyDescent="0.25">
      <c r="B45" s="164"/>
      <c r="C45" s="198"/>
      <c r="D45" s="164"/>
      <c r="E45" s="198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46"/>
    </row>
    <row r="46" spans="2:20" ht="18.75" x14ac:dyDescent="0.25">
      <c r="B46" s="164"/>
      <c r="C46" s="200"/>
      <c r="D46" s="164"/>
      <c r="E46" s="200"/>
      <c r="F46" s="164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64"/>
      <c r="S46" s="46"/>
    </row>
    <row r="47" spans="2:20" ht="15.75" x14ac:dyDescent="0.25">
      <c r="B47" s="164"/>
      <c r="C47" s="198"/>
      <c r="D47" s="164"/>
      <c r="E47" s="198"/>
      <c r="F47" s="164"/>
      <c r="G47" s="186" t="s">
        <v>18</v>
      </c>
      <c r="H47" s="186"/>
      <c r="I47" s="186"/>
      <c r="J47" s="164"/>
      <c r="K47" s="164"/>
      <c r="L47" s="164"/>
      <c r="M47" s="164"/>
      <c r="N47" s="164"/>
      <c r="O47" s="12"/>
      <c r="P47" s="186" t="s">
        <v>14</v>
      </c>
      <c r="Q47" s="186"/>
      <c r="R47" s="186"/>
      <c r="S47" s="46"/>
    </row>
    <row r="48" spans="2:20" ht="15.75" x14ac:dyDescent="0.25">
      <c r="B48" s="164"/>
      <c r="C48" s="200"/>
      <c r="D48" s="164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64"/>
      <c r="C49" s="166"/>
      <c r="D49" s="164"/>
      <c r="E49" s="166"/>
      <c r="F49" s="164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64"/>
      <c r="C50" s="166"/>
      <c r="D50" s="164"/>
      <c r="E50" s="166"/>
      <c r="F50" s="164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64"/>
      <c r="C51" s="166"/>
      <c r="D51" s="164"/>
      <c r="E51" s="166"/>
      <c r="F51" s="16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64"/>
      <c r="C52" s="166"/>
      <c r="D52" s="164"/>
      <c r="E52" s="166"/>
      <c r="F52" s="16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64"/>
      <c r="C53" s="166"/>
      <c r="D53" s="164"/>
      <c r="E53" s="166"/>
      <c r="F53" s="16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  <mergeCell ref="C15:D15"/>
    <mergeCell ref="E15:F15"/>
    <mergeCell ref="G15:H15"/>
    <mergeCell ref="I7:I8"/>
    <mergeCell ref="J7:J8"/>
    <mergeCell ref="G28:Q28"/>
    <mergeCell ref="P7:P8"/>
    <mergeCell ref="Q7:Q8"/>
    <mergeCell ref="R7:R8"/>
    <mergeCell ref="S7:S8"/>
    <mergeCell ref="C16:D16"/>
    <mergeCell ref="E16:F16"/>
    <mergeCell ref="G16:H16"/>
    <mergeCell ref="B27:R27"/>
    <mergeCell ref="B16:B18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55:R61"/>
    <mergeCell ref="C45:C46"/>
    <mergeCell ref="E45:E46"/>
    <mergeCell ref="G46:Q46"/>
    <mergeCell ref="C47:C48"/>
    <mergeCell ref="E47:E48"/>
    <mergeCell ref="G47:I47"/>
    <mergeCell ref="P47:R4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ACF5-AE1B-4EE8-892A-38DAD6A5EEBC}">
  <dimension ref="A2:X61"/>
  <sheetViews>
    <sheetView topLeftCell="A4" zoomScale="88" zoomScaleNormal="88" workbookViewId="0">
      <selection activeCell="J22" sqref="J22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76" t="s">
        <v>21</v>
      </c>
      <c r="F8" s="176" t="s">
        <v>22</v>
      </c>
      <c r="G8" s="201"/>
      <c r="H8" s="201"/>
      <c r="I8" s="201"/>
      <c r="J8" s="230"/>
      <c r="K8" s="202"/>
      <c r="L8" s="218"/>
      <c r="M8" s="218"/>
      <c r="N8" s="175" t="s">
        <v>21</v>
      </c>
      <c r="O8" s="175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73" t="s">
        <v>5</v>
      </c>
      <c r="C9" s="174" t="s">
        <v>112</v>
      </c>
      <c r="D9" s="10">
        <v>3</v>
      </c>
      <c r="E9" s="3" t="s">
        <v>114</v>
      </c>
      <c r="F9" s="3" t="s">
        <v>113</v>
      </c>
      <c r="G9" s="9">
        <v>640</v>
      </c>
      <c r="H9" s="9">
        <v>685</v>
      </c>
      <c r="I9" s="9">
        <v>730</v>
      </c>
      <c r="J9" s="9"/>
      <c r="K9" s="9" t="s">
        <v>29</v>
      </c>
      <c r="L9" s="10" t="s">
        <v>106</v>
      </c>
      <c r="M9" s="10">
        <v>4</v>
      </c>
      <c r="N9" s="3" t="s">
        <v>113</v>
      </c>
      <c r="O9" s="3" t="s">
        <v>115</v>
      </c>
      <c r="P9" s="9">
        <v>800</v>
      </c>
      <c r="Q9" s="9">
        <v>1050</v>
      </c>
      <c r="R9" s="9">
        <v>1300</v>
      </c>
      <c r="S9" s="9"/>
      <c r="T9" s="9" t="s">
        <v>29</v>
      </c>
    </row>
    <row r="10" spans="1:20" ht="15.6" customHeight="1" x14ac:dyDescent="0.25">
      <c r="A10" s="17"/>
      <c r="B10" s="173" t="s">
        <v>19</v>
      </c>
      <c r="C10" s="174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73" t="s">
        <v>32</v>
      </c>
      <c r="C11" s="174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74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72"/>
      <c r="M17" s="172"/>
      <c r="N17" s="172"/>
      <c r="O17" s="172"/>
      <c r="P17" s="19"/>
      <c r="Q17" s="19"/>
      <c r="R17" s="19"/>
      <c r="S17" s="19"/>
      <c r="T17" s="16"/>
    </row>
    <row r="18" spans="2:24" ht="15.75" x14ac:dyDescent="0.25">
      <c r="B18" s="186"/>
      <c r="C18" s="30">
        <f>(2600*2)/90</f>
        <v>57.777777777777779</v>
      </c>
      <c r="D18" s="30"/>
      <c r="E18" s="27"/>
      <c r="F18" s="27"/>
      <c r="G18" s="32"/>
      <c r="H18" s="32"/>
      <c r="I18" s="19"/>
      <c r="J18" s="19"/>
      <c r="K18" s="19"/>
      <c r="L18" s="172"/>
      <c r="M18" s="172"/>
      <c r="N18" s="172"/>
      <c r="O18" s="172"/>
      <c r="P18" s="19"/>
      <c r="Q18" s="19"/>
      <c r="R18" s="19"/>
      <c r="S18" s="19"/>
      <c r="T18" s="16"/>
    </row>
    <row r="19" spans="2:24" ht="15.75" x14ac:dyDescent="0.25">
      <c r="B19" s="172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72"/>
      <c r="M19" s="172"/>
      <c r="N19" s="172"/>
      <c r="O19" s="172"/>
      <c r="P19" s="19"/>
      <c r="Q19" s="19"/>
      <c r="R19" s="19"/>
      <c r="S19" s="19"/>
      <c r="T19" s="16"/>
    </row>
    <row r="20" spans="2:24" ht="15.75" x14ac:dyDescent="0.25">
      <c r="B20" s="172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72"/>
      <c r="M20" s="172"/>
      <c r="N20" s="172"/>
      <c r="O20" s="172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72"/>
      <c r="M21" s="172"/>
      <c r="N21" s="172"/>
      <c r="O21" s="172"/>
      <c r="P21" s="19"/>
      <c r="Q21" s="19"/>
      <c r="R21" s="19"/>
      <c r="S21" s="19"/>
      <c r="T21" s="16"/>
    </row>
    <row r="22" spans="2:24" ht="15.75" x14ac:dyDescent="0.25">
      <c r="B22" s="172" t="s">
        <v>69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72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72" t="s">
        <v>37</v>
      </c>
      <c r="C24" s="31">
        <f>35*3.75</f>
        <v>131.25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72" t="s">
        <v>57</v>
      </c>
      <c r="C25" s="31">
        <f>(400*2)/90</f>
        <v>8.8888888888888893</v>
      </c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72" t="s">
        <v>9</v>
      </c>
      <c r="C26" s="31">
        <v>55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 t="s">
        <v>10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72" t="s">
        <v>11</v>
      </c>
      <c r="C28" s="172"/>
      <c r="D28" s="172"/>
      <c r="E28" s="172"/>
      <c r="F28" s="172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72"/>
      <c r="K29" s="172"/>
      <c r="L29" s="172"/>
      <c r="M29" s="172"/>
      <c r="N29" s="172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3297.916666666667</v>
      </c>
      <c r="W30" s="142">
        <f>Q31+Q40</f>
        <v>2822.916666666667</v>
      </c>
      <c r="X30" s="142">
        <f>R31+R40</f>
        <v>2585.416666666667</v>
      </c>
    </row>
    <row r="31" spans="2:24" ht="15.75" x14ac:dyDescent="0.25">
      <c r="B31" s="172"/>
      <c r="C31" s="198"/>
      <c r="D31" s="172"/>
      <c r="E31" s="198"/>
      <c r="F31" s="172" t="s">
        <v>121</v>
      </c>
      <c r="G31" s="18">
        <f>((G9*D9)+(P9*M9))/2</f>
        <v>2560</v>
      </c>
      <c r="H31" s="18">
        <f>((D9*H9)+(M9*Q9))/3</f>
        <v>2085</v>
      </c>
      <c r="I31" s="18">
        <f>((D9*I9)+(M9*R9))/4</f>
        <v>1847.5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737.91666666666674</v>
      </c>
      <c r="P31" s="18">
        <f>G31+O31</f>
        <v>3297.916666666667</v>
      </c>
      <c r="Q31" s="18">
        <f>H31+O31</f>
        <v>2822.916666666667</v>
      </c>
      <c r="R31" s="18">
        <f>I31+O31</f>
        <v>2585.416666666667</v>
      </c>
      <c r="S31" s="18">
        <f>J31+O31</f>
        <v>737.91666666666674</v>
      </c>
      <c r="T31" s="18"/>
    </row>
    <row r="32" spans="2:24" ht="15.75" x14ac:dyDescent="0.25">
      <c r="B32" s="172"/>
      <c r="C32" s="200"/>
      <c r="D32" s="172"/>
      <c r="E32" s="200"/>
      <c r="F32" s="172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72"/>
      <c r="C33" s="198"/>
      <c r="D33" s="172"/>
      <c r="E33" s="198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46"/>
      <c r="T33" s="20"/>
    </row>
    <row r="34" spans="2:20" ht="15.75" x14ac:dyDescent="0.25">
      <c r="B34" s="172"/>
      <c r="C34" s="200"/>
      <c r="D34" s="172"/>
      <c r="E34" s="200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46"/>
      <c r="T34" s="20"/>
    </row>
    <row r="35" spans="2:20" ht="15.75" x14ac:dyDescent="0.25">
      <c r="B35" s="172"/>
      <c r="C35" s="198"/>
      <c r="D35" s="172"/>
      <c r="E35" s="198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46"/>
      <c r="T35" s="20"/>
    </row>
    <row r="36" spans="2:20" ht="15.75" x14ac:dyDescent="0.25">
      <c r="B36" s="172"/>
      <c r="C36" s="200"/>
      <c r="D36" s="172"/>
      <c r="E36" s="200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46"/>
      <c r="T36" s="20"/>
    </row>
    <row r="37" spans="2:20" ht="18.75" x14ac:dyDescent="0.25">
      <c r="B37" s="172"/>
      <c r="C37" s="172"/>
      <c r="D37" s="172"/>
      <c r="E37" s="172"/>
      <c r="F37" s="172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72"/>
      <c r="S37" s="46"/>
      <c r="T37" s="20"/>
    </row>
    <row r="38" spans="2:20" ht="15.75" x14ac:dyDescent="0.25">
      <c r="B38" s="172"/>
      <c r="C38" s="172"/>
      <c r="D38" s="172"/>
      <c r="E38" s="172"/>
      <c r="F38" s="172"/>
      <c r="G38" s="186" t="s">
        <v>18</v>
      </c>
      <c r="H38" s="186"/>
      <c r="I38" s="186"/>
      <c r="J38" s="172"/>
      <c r="K38" s="172"/>
      <c r="L38" s="172"/>
      <c r="M38" s="172"/>
      <c r="N38" s="172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72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72"/>
      <c r="C40" s="198"/>
      <c r="D40" s="172"/>
      <c r="E40" s="198"/>
      <c r="F40" s="172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72"/>
      <c r="C41" s="200"/>
      <c r="D41" s="172"/>
      <c r="E41" s="200"/>
      <c r="F41" s="172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72"/>
      <c r="C42" s="177"/>
      <c r="D42" s="172"/>
      <c r="E42" s="177"/>
      <c r="F42" s="172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72"/>
      <c r="S42" s="46"/>
    </row>
    <row r="43" spans="2:20" ht="15.75" x14ac:dyDescent="0.25">
      <c r="B43" s="172"/>
      <c r="C43" s="177"/>
      <c r="D43" s="172"/>
      <c r="E43" s="177"/>
      <c r="F43" s="172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72"/>
      <c r="S43" s="46"/>
    </row>
    <row r="44" spans="2:20" ht="15.75" x14ac:dyDescent="0.25">
      <c r="B44" s="172"/>
      <c r="C44" s="177"/>
      <c r="D44" s="172"/>
      <c r="E44" s="177"/>
      <c r="F44" s="172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72"/>
      <c r="S44" s="46"/>
    </row>
    <row r="45" spans="2:20" ht="15.75" x14ac:dyDescent="0.25">
      <c r="B45" s="172"/>
      <c r="C45" s="198"/>
      <c r="D45" s="172"/>
      <c r="E45" s="198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46"/>
    </row>
    <row r="46" spans="2:20" ht="18.75" x14ac:dyDescent="0.25">
      <c r="B46" s="172"/>
      <c r="C46" s="200"/>
      <c r="D46" s="172"/>
      <c r="E46" s="200"/>
      <c r="F46" s="172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72"/>
      <c r="S46" s="46"/>
    </row>
    <row r="47" spans="2:20" ht="15.75" x14ac:dyDescent="0.25">
      <c r="B47" s="172"/>
      <c r="C47" s="198"/>
      <c r="D47" s="172"/>
      <c r="E47" s="198"/>
      <c r="F47" s="172"/>
      <c r="G47" s="186" t="s">
        <v>18</v>
      </c>
      <c r="H47" s="186"/>
      <c r="I47" s="186"/>
      <c r="J47" s="172"/>
      <c r="K47" s="172"/>
      <c r="L47" s="172"/>
      <c r="M47" s="172"/>
      <c r="N47" s="172"/>
      <c r="O47" s="12"/>
      <c r="P47" s="186" t="s">
        <v>14</v>
      </c>
      <c r="Q47" s="186"/>
      <c r="R47" s="186"/>
      <c r="S47" s="46"/>
    </row>
    <row r="48" spans="2:20" ht="15.75" x14ac:dyDescent="0.25">
      <c r="B48" s="172"/>
      <c r="C48" s="200"/>
      <c r="D48" s="172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72"/>
      <c r="C49" s="171"/>
      <c r="D49" s="172"/>
      <c r="E49" s="171"/>
      <c r="F49" s="172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72"/>
      <c r="C50" s="171"/>
      <c r="D50" s="172"/>
      <c r="E50" s="171"/>
      <c r="F50" s="172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72"/>
      <c r="C51" s="171"/>
      <c r="D51" s="172"/>
      <c r="E51" s="171"/>
      <c r="F51" s="172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72"/>
      <c r="C52" s="171"/>
      <c r="D52" s="172"/>
      <c r="E52" s="171"/>
      <c r="F52" s="172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72"/>
      <c r="C53" s="171"/>
      <c r="D53" s="172"/>
      <c r="E53" s="171"/>
      <c r="F53" s="172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40:C41"/>
    <mergeCell ref="E40:E41"/>
    <mergeCell ref="G29:I29"/>
    <mergeCell ref="P29:R29"/>
    <mergeCell ref="C31:C32"/>
    <mergeCell ref="E31:E32"/>
    <mergeCell ref="C33:C34"/>
    <mergeCell ref="E33:E34"/>
    <mergeCell ref="C35:C36"/>
    <mergeCell ref="E35:E36"/>
    <mergeCell ref="G37:Q37"/>
    <mergeCell ref="G38:I38"/>
    <mergeCell ref="P38:R38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C15:D15"/>
    <mergeCell ref="E15:F15"/>
    <mergeCell ref="G15:H15"/>
    <mergeCell ref="I7:I8"/>
    <mergeCell ref="J7:J8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  <mergeCell ref="T7:T8"/>
    <mergeCell ref="K7:K8"/>
    <mergeCell ref="L7:L8"/>
    <mergeCell ref="M7:M8"/>
    <mergeCell ref="N7:O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8B3C-A053-44FE-895C-98A38C03E3A5}">
  <dimension ref="A2:X61"/>
  <sheetViews>
    <sheetView topLeftCell="A7" zoomScale="88" zoomScaleNormal="88" workbookViewId="0">
      <selection activeCell="G37" sqref="G37:Q37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81" t="s">
        <v>5</v>
      </c>
      <c r="C9" s="182" t="s">
        <v>112</v>
      </c>
      <c r="D9" s="10">
        <v>3</v>
      </c>
      <c r="E9" s="3" t="s">
        <v>122</v>
      </c>
      <c r="F9" s="3" t="s">
        <v>123</v>
      </c>
      <c r="G9" s="9">
        <v>640</v>
      </c>
      <c r="H9" s="9">
        <v>685</v>
      </c>
      <c r="I9" s="9">
        <v>730</v>
      </c>
      <c r="J9" s="9"/>
      <c r="K9" s="9" t="s">
        <v>29</v>
      </c>
      <c r="L9" s="10" t="s">
        <v>124</v>
      </c>
      <c r="M9" s="10">
        <v>4</v>
      </c>
      <c r="N9" s="3">
        <v>46328</v>
      </c>
      <c r="O9" s="3" t="s">
        <v>122</v>
      </c>
      <c r="P9" s="9">
        <v>600</v>
      </c>
      <c r="Q9" s="9">
        <v>650</v>
      </c>
      <c r="R9" s="9">
        <v>700</v>
      </c>
      <c r="S9" s="9"/>
      <c r="T9" s="9" t="s">
        <v>29</v>
      </c>
    </row>
    <row r="10" spans="1:20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/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>
        <f>1900/7</f>
        <v>271.42857142857144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90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3006.4285714285716</v>
      </c>
      <c r="W30" s="142">
        <f>Q31+Q40</f>
        <v>2398.0952380952381</v>
      </c>
      <c r="X30" s="142">
        <f>R31+R40</f>
        <v>2093.9285714285716</v>
      </c>
    </row>
    <row r="31" spans="2:24" ht="15.75" x14ac:dyDescent="0.25">
      <c r="B31" s="180"/>
      <c r="C31" s="198"/>
      <c r="D31" s="180"/>
      <c r="E31" s="198"/>
      <c r="F31" s="180" t="s">
        <v>121</v>
      </c>
      <c r="G31" s="18">
        <f>((G9*D9)+(P9*M9))/2</f>
        <v>2160</v>
      </c>
      <c r="H31" s="18">
        <f>((D9*H9)+(M9*Q9))/3</f>
        <v>1551.6666666666667</v>
      </c>
      <c r="I31" s="18">
        <f>((D9*I9)+(M9*R9))/4</f>
        <v>1247.5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846.42857142857144</v>
      </c>
      <c r="P31" s="18">
        <f>G31+O31</f>
        <v>3006.4285714285716</v>
      </c>
      <c r="Q31" s="18">
        <f>H31+O31</f>
        <v>2398.0952380952381</v>
      </c>
      <c r="R31" s="18">
        <f>I31+O31</f>
        <v>2093.9285714285716</v>
      </c>
      <c r="S31" s="18">
        <f>J31+O31</f>
        <v>846.42857142857144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C638-14BD-4841-8218-824828354148}">
  <dimension ref="A2:X61"/>
  <sheetViews>
    <sheetView zoomScale="88" zoomScaleNormal="88" workbookViewId="0">
      <selection activeCell="C22" sqref="C22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81" t="s">
        <v>5</v>
      </c>
      <c r="C9" s="182" t="s">
        <v>112</v>
      </c>
      <c r="D9" s="10">
        <v>3</v>
      </c>
      <c r="E9" s="3" t="s">
        <v>122</v>
      </c>
      <c r="F9" s="3" t="s">
        <v>123</v>
      </c>
      <c r="G9" s="9">
        <v>640</v>
      </c>
      <c r="H9" s="9">
        <v>685</v>
      </c>
      <c r="I9" s="9">
        <v>730</v>
      </c>
      <c r="J9" s="9"/>
      <c r="K9" s="9" t="s">
        <v>29</v>
      </c>
      <c r="L9" s="10" t="s">
        <v>124</v>
      </c>
      <c r="M9" s="10">
        <v>4</v>
      </c>
      <c r="N9" s="3">
        <v>46328</v>
      </c>
      <c r="O9" s="3" t="s">
        <v>122</v>
      </c>
      <c r="P9" s="9">
        <v>600</v>
      </c>
      <c r="Q9" s="9">
        <v>650</v>
      </c>
      <c r="R9" s="9">
        <v>700</v>
      </c>
      <c r="S9" s="9"/>
      <c r="T9" s="9" t="s">
        <v>29</v>
      </c>
    </row>
    <row r="10" spans="1:20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/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>
        <f>1900/7</f>
        <v>271.42857142857144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90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3006.4285714285716</v>
      </c>
      <c r="W30" s="142">
        <f>Q31+Q40</f>
        <v>2398.0952380952381</v>
      </c>
      <c r="X30" s="142">
        <f>R31+R40</f>
        <v>2093.9285714285716</v>
      </c>
    </row>
    <row r="31" spans="2:24" ht="15.75" x14ac:dyDescent="0.25">
      <c r="B31" s="180"/>
      <c r="C31" s="198"/>
      <c r="D31" s="180"/>
      <c r="E31" s="198"/>
      <c r="F31" s="180" t="s">
        <v>121</v>
      </c>
      <c r="G31" s="18">
        <f>((G9*D9)+(P9*M9))/2</f>
        <v>2160</v>
      </c>
      <c r="H31" s="18">
        <f>((D9*H9)+(M9*Q9))/3</f>
        <v>1551.6666666666667</v>
      </c>
      <c r="I31" s="18">
        <f>((D9*I9)+(M9*R9))/4</f>
        <v>1247.5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846.42857142857144</v>
      </c>
      <c r="P31" s="18">
        <f>G31+O31</f>
        <v>3006.4285714285716</v>
      </c>
      <c r="Q31" s="18">
        <f>H31+O31</f>
        <v>2398.0952380952381</v>
      </c>
      <c r="R31" s="18">
        <f>I31+O31</f>
        <v>2093.9285714285716</v>
      </c>
      <c r="S31" s="18">
        <f>J31+O31</f>
        <v>846.42857142857144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E0DF-302E-4960-9DBD-74CFEA7B4201}">
  <dimension ref="A2:X61"/>
  <sheetViews>
    <sheetView topLeftCell="A7" zoomScale="88" zoomScaleNormal="88" workbookViewId="0">
      <selection activeCell="C24" sqref="C24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1.570312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0" ht="15.75" x14ac:dyDescent="0.25">
      <c r="A9" s="15"/>
      <c r="B9" s="181" t="s">
        <v>5</v>
      </c>
      <c r="C9" s="182" t="s">
        <v>125</v>
      </c>
      <c r="D9" s="10">
        <v>3</v>
      </c>
      <c r="E9" s="3" t="s">
        <v>126</v>
      </c>
      <c r="F9" s="3" t="s">
        <v>119</v>
      </c>
      <c r="G9" s="9">
        <v>750</v>
      </c>
      <c r="H9" s="9">
        <v>800</v>
      </c>
      <c r="I9" s="9">
        <v>850</v>
      </c>
      <c r="J9" s="9"/>
      <c r="K9" s="9" t="s">
        <v>29</v>
      </c>
      <c r="L9" s="10" t="s">
        <v>127</v>
      </c>
      <c r="M9" s="10">
        <v>4</v>
      </c>
      <c r="N9" s="3" t="s">
        <v>119</v>
      </c>
      <c r="O9" s="3">
        <v>46024</v>
      </c>
      <c r="P9" s="9">
        <v>510</v>
      </c>
      <c r="Q9" s="9">
        <v>560</v>
      </c>
      <c r="R9" s="9">
        <v>610</v>
      </c>
      <c r="S9" s="9"/>
      <c r="T9" s="9" t="s">
        <v>29</v>
      </c>
    </row>
    <row r="10" spans="1:20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>
        <f>2600/20</f>
        <v>130</v>
      </c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>
        <f>75*3.75</f>
        <v>281.25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90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3131.25</v>
      </c>
      <c r="W30" s="142">
        <f>Q31+Q40</f>
        <v>2532.916666666667</v>
      </c>
      <c r="X30" s="142">
        <f>R31+R40</f>
        <v>2233.75</v>
      </c>
    </row>
    <row r="31" spans="2:24" ht="15.75" x14ac:dyDescent="0.25">
      <c r="B31" s="180"/>
      <c r="C31" s="198"/>
      <c r="D31" s="180"/>
      <c r="E31" s="198"/>
      <c r="F31" s="180" t="s">
        <v>128</v>
      </c>
      <c r="G31" s="18">
        <f>((G9*D9)+(P9*M9))/2</f>
        <v>2145</v>
      </c>
      <c r="H31" s="18">
        <f>((D9*H9)+(M9*Q9))/3</f>
        <v>1546.6666666666667</v>
      </c>
      <c r="I31" s="18">
        <f>((D9*I9)+(M9*R9))/4</f>
        <v>1247.5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986.25</v>
      </c>
      <c r="P31" s="18">
        <f>G31+O31</f>
        <v>3131.25</v>
      </c>
      <c r="Q31" s="18">
        <f>H31+O31</f>
        <v>2532.916666666667</v>
      </c>
      <c r="R31" s="18">
        <f>I31+O31</f>
        <v>2233.75</v>
      </c>
      <c r="S31" s="18">
        <f>J31+O31</f>
        <v>986.25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34DE-5EBE-4B79-9FB5-68F4AFD0C0C8}">
  <dimension ref="A2:X61"/>
  <sheetViews>
    <sheetView zoomScale="88" zoomScaleNormal="88" workbookViewId="0">
      <selection activeCell="L9" sqref="L9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5.8554687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0" ht="26.25" customHeight="1" x14ac:dyDescent="0.25">
      <c r="A9" s="15"/>
      <c r="B9" s="181" t="s">
        <v>5</v>
      </c>
      <c r="C9" s="182" t="s">
        <v>129</v>
      </c>
      <c r="D9" s="10">
        <v>3</v>
      </c>
      <c r="E9" s="3">
        <v>46328</v>
      </c>
      <c r="F9" s="3" t="s">
        <v>135</v>
      </c>
      <c r="G9" s="9">
        <v>650</v>
      </c>
      <c r="H9" s="9">
        <v>700</v>
      </c>
      <c r="I9" s="9">
        <v>750</v>
      </c>
      <c r="J9" s="9"/>
      <c r="K9" s="9" t="s">
        <v>29</v>
      </c>
      <c r="L9" s="10" t="s">
        <v>130</v>
      </c>
      <c r="M9" s="10">
        <v>6</v>
      </c>
      <c r="N9" s="3" t="s">
        <v>135</v>
      </c>
      <c r="O9" s="3" t="s">
        <v>114</v>
      </c>
      <c r="P9" s="9">
        <v>1360</v>
      </c>
      <c r="Q9" s="9">
        <v>1620</v>
      </c>
      <c r="R9" s="9">
        <v>1880</v>
      </c>
      <c r="S9" s="9"/>
      <c r="T9" s="9" t="s">
        <v>29</v>
      </c>
    </row>
    <row r="10" spans="1:20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/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>
        <v>300</v>
      </c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>
        <f>1900/7</f>
        <v>271.42857142857144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>
        <f>142*3.75</f>
        <v>532.5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50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6693.9285714285716</v>
      </c>
      <c r="W30" s="142">
        <f>Q31+Q40</f>
        <v>5578.9285714285716</v>
      </c>
      <c r="X30" s="142">
        <f>R31+R40</f>
        <v>5021.4285714285716</v>
      </c>
    </row>
    <row r="31" spans="2:24" ht="15.75" x14ac:dyDescent="0.25">
      <c r="B31" s="180"/>
      <c r="C31" s="198"/>
      <c r="D31" s="180"/>
      <c r="E31" s="198"/>
      <c r="F31" s="180" t="s">
        <v>131</v>
      </c>
      <c r="G31" s="18">
        <f>((G9*D9)+(P9*M9))/2</f>
        <v>5055</v>
      </c>
      <c r="H31" s="18">
        <f>((D9*H9)+(M9*Q9))/3</f>
        <v>3940</v>
      </c>
      <c r="I31" s="18">
        <f>((D9*I9)+(M9*R9))/4</f>
        <v>3382.5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1638.9285714285716</v>
      </c>
      <c r="P31" s="18">
        <f>G31+O31</f>
        <v>6693.9285714285716</v>
      </c>
      <c r="Q31" s="18">
        <f>H31+O31</f>
        <v>5578.9285714285716</v>
      </c>
      <c r="R31" s="18">
        <f>I31+O31</f>
        <v>5021.4285714285716</v>
      </c>
      <c r="S31" s="18">
        <f>J31+O31</f>
        <v>1638.9285714285716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437C-D322-4926-AA41-97FB1D8D9D3A}">
  <dimension ref="A2:X61"/>
  <sheetViews>
    <sheetView topLeftCell="A4" zoomScale="88" zoomScaleNormal="88" workbookViewId="0">
      <selection activeCell="D31" sqref="D31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5.8554687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2" spans="1:20" x14ac:dyDescent="0.25">
      <c r="E2" s="14" t="s">
        <v>92</v>
      </c>
    </row>
    <row r="4" spans="1:20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</row>
    <row r="5" spans="1:20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</row>
    <row r="6" spans="1:20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0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0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0" ht="26.25" customHeight="1" x14ac:dyDescent="0.25">
      <c r="A9" s="15"/>
      <c r="B9" s="181" t="s">
        <v>5</v>
      </c>
      <c r="C9" s="182" t="s">
        <v>133</v>
      </c>
      <c r="D9" s="10">
        <v>3</v>
      </c>
      <c r="E9" s="3" t="s">
        <v>104</v>
      </c>
      <c r="F9" s="3" t="s">
        <v>105</v>
      </c>
      <c r="G9" s="9">
        <v>750</v>
      </c>
      <c r="H9" s="9">
        <v>800</v>
      </c>
      <c r="I9" s="9">
        <v>850</v>
      </c>
      <c r="J9" s="9"/>
      <c r="K9" s="9" t="s">
        <v>29</v>
      </c>
      <c r="L9" s="10" t="s">
        <v>132</v>
      </c>
      <c r="M9" s="10">
        <v>8</v>
      </c>
      <c r="N9" s="3" t="s">
        <v>105</v>
      </c>
      <c r="O9" s="3">
        <v>46205</v>
      </c>
      <c r="P9" s="9">
        <v>500</v>
      </c>
      <c r="Q9" s="9">
        <v>550</v>
      </c>
      <c r="R9" s="9">
        <v>600</v>
      </c>
      <c r="S9" s="9"/>
      <c r="T9" s="9" t="s">
        <v>29</v>
      </c>
    </row>
    <row r="10" spans="1:20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/>
      <c r="Q10" s="9"/>
      <c r="R10" s="9"/>
      <c r="S10" s="9"/>
      <c r="T10" s="9" t="s">
        <v>29</v>
      </c>
    </row>
    <row r="11" spans="1:20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</row>
    <row r="12" spans="1:20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</row>
    <row r="13" spans="1:20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</row>
    <row r="14" spans="1:20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</row>
    <row r="15" spans="1:20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0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>
        <f>2600/33</f>
        <v>78.787878787878782</v>
      </c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>
        <f>(300*11)/33</f>
        <v>100</v>
      </c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>
        <v>34</v>
      </c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/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/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>
        <f>45*3.75</f>
        <v>168.75</v>
      </c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50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4041.537878787879</v>
      </c>
      <c r="W30" s="142">
        <f>Q31+Q40</f>
        <v>3183.204545454545</v>
      </c>
      <c r="X30" s="142">
        <f>R31+R40</f>
        <v>2754.037878787879</v>
      </c>
    </row>
    <row r="31" spans="2:24" ht="15.75" x14ac:dyDescent="0.25">
      <c r="B31" s="180"/>
      <c r="C31" s="198"/>
      <c r="D31" s="180"/>
      <c r="E31" s="198"/>
      <c r="F31" s="180" t="s">
        <v>134</v>
      </c>
      <c r="G31" s="18">
        <f>((G9*D9)+(P9*M9))/2</f>
        <v>3125</v>
      </c>
      <c r="H31" s="18">
        <f>((D9*H9)+(M9*Q9))/3</f>
        <v>2266.6666666666665</v>
      </c>
      <c r="I31" s="18">
        <f>((D9*I9)+(M9*R9))/4</f>
        <v>1837.5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916.53787878787875</v>
      </c>
      <c r="P31" s="18">
        <f>G31+O31</f>
        <v>4041.537878787879</v>
      </c>
      <c r="Q31" s="18">
        <f>H31+O31</f>
        <v>3183.204545454545</v>
      </c>
      <c r="R31" s="18">
        <f>I31+O31</f>
        <v>2754.037878787879</v>
      </c>
      <c r="S31" s="18">
        <f>J31+O31</f>
        <v>916.53787878787875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37FD-9680-4988-A450-350B24E46254}">
  <dimension ref="A1:X61"/>
  <sheetViews>
    <sheetView zoomScale="88" zoomScaleNormal="88" workbookViewId="0">
      <selection activeCell="P31" sqref="P31:R31"/>
    </sheetView>
  </sheetViews>
  <sheetFormatPr defaultColWidth="8.85546875" defaultRowHeight="15" x14ac:dyDescent="0.25"/>
  <cols>
    <col min="1" max="1" width="8.85546875" style="14"/>
    <col min="2" max="2" width="18.28515625" style="14" bestFit="1" customWidth="1"/>
    <col min="3" max="3" width="25.85546875" style="14" customWidth="1"/>
    <col min="4" max="4" width="9.7109375" style="14" bestFit="1" customWidth="1"/>
    <col min="5" max="5" width="16" style="14" customWidth="1"/>
    <col min="6" max="6" width="17.140625" style="14" customWidth="1"/>
    <col min="7" max="7" width="12.85546875" style="14" customWidth="1"/>
    <col min="8" max="8" width="14.5703125" style="14" customWidth="1"/>
    <col min="9" max="10" width="10" style="14" customWidth="1"/>
    <col min="11" max="11" width="10.42578125" style="14" bestFit="1" customWidth="1"/>
    <col min="12" max="12" width="20.5703125" style="14" customWidth="1"/>
    <col min="13" max="13" width="5.42578125" style="14" bestFit="1" customWidth="1"/>
    <col min="14" max="14" width="15.140625" style="14" customWidth="1"/>
    <col min="15" max="15" width="15.28515625" style="14" customWidth="1"/>
    <col min="16" max="16" width="8.85546875" style="14"/>
    <col min="17" max="17" width="10.42578125" style="14" bestFit="1" customWidth="1"/>
    <col min="18" max="19" width="8.140625" style="14" customWidth="1"/>
    <col min="20" max="16384" width="8.85546875" style="14"/>
  </cols>
  <sheetData>
    <row r="1" spans="1:24" x14ac:dyDescent="0.25">
      <c r="U1" s="14">
        <v>1400</v>
      </c>
      <c r="V1" s="14">
        <v>1200</v>
      </c>
      <c r="W1" s="14">
        <v>1600</v>
      </c>
      <c r="X1" s="14">
        <v>3070</v>
      </c>
    </row>
    <row r="2" spans="1:24" x14ac:dyDescent="0.25">
      <c r="E2" s="14" t="s">
        <v>92</v>
      </c>
      <c r="U2" s="14">
        <v>1400</v>
      </c>
      <c r="V2" s="14">
        <v>1200</v>
      </c>
      <c r="W2" s="14">
        <v>1600</v>
      </c>
      <c r="X2" s="14">
        <v>3070</v>
      </c>
    </row>
    <row r="3" spans="1:24" x14ac:dyDescent="0.25">
      <c r="U3" s="14">
        <v>1400</v>
      </c>
      <c r="V3" s="14">
        <v>1200</v>
      </c>
      <c r="W3" s="14">
        <v>1600</v>
      </c>
      <c r="X3" s="14">
        <v>1312</v>
      </c>
    </row>
    <row r="4" spans="1:24" ht="15.75" customHeight="1" x14ac:dyDescent="0.25">
      <c r="B4" s="208" t="s">
        <v>43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10"/>
      <c r="U4" s="14">
        <v>2700</v>
      </c>
      <c r="V4" s="14">
        <v>2150</v>
      </c>
      <c r="W4" s="14">
        <v>3250</v>
      </c>
      <c r="X4" s="14">
        <v>1312</v>
      </c>
    </row>
    <row r="5" spans="1:24" ht="15.75" x14ac:dyDescent="0.25">
      <c r="B5" s="211" t="s">
        <v>0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3"/>
      <c r="U5" s="14">
        <v>2700</v>
      </c>
      <c r="V5" s="14">
        <v>2150</v>
      </c>
      <c r="W5" s="14">
        <v>3250</v>
      </c>
      <c r="X5" s="14">
        <v>1312</v>
      </c>
    </row>
    <row r="6" spans="1:24" ht="15.75" customHeight="1" x14ac:dyDescent="0.25">
      <c r="B6" s="207" t="s">
        <v>1</v>
      </c>
      <c r="C6" s="202" t="s">
        <v>25</v>
      </c>
      <c r="D6" s="202"/>
      <c r="E6" s="202"/>
      <c r="F6" s="202"/>
      <c r="G6" s="202"/>
      <c r="H6" s="202"/>
      <c r="I6" s="202"/>
      <c r="J6" s="202"/>
      <c r="K6" s="202"/>
      <c r="L6" s="214" t="s">
        <v>24</v>
      </c>
      <c r="M6" s="215"/>
      <c r="N6" s="215"/>
      <c r="O6" s="215"/>
      <c r="P6" s="215"/>
      <c r="Q6" s="215"/>
      <c r="R6" s="215"/>
      <c r="S6" s="215"/>
      <c r="T6" s="216"/>
    </row>
    <row r="7" spans="1:24" ht="15.75" x14ac:dyDescent="0.25">
      <c r="B7" s="207"/>
      <c r="C7" s="201" t="s">
        <v>17</v>
      </c>
      <c r="D7" s="201" t="s">
        <v>23</v>
      </c>
      <c r="E7" s="201" t="s">
        <v>20</v>
      </c>
      <c r="F7" s="201"/>
      <c r="G7" s="201" t="s">
        <v>2</v>
      </c>
      <c r="H7" s="201" t="s">
        <v>3</v>
      </c>
      <c r="I7" s="201" t="s">
        <v>4</v>
      </c>
      <c r="J7" s="229" t="s">
        <v>44</v>
      </c>
      <c r="K7" s="202" t="s">
        <v>16</v>
      </c>
      <c r="L7" s="218" t="s">
        <v>17</v>
      </c>
      <c r="M7" s="218" t="s">
        <v>23</v>
      </c>
      <c r="N7" s="218" t="s">
        <v>20</v>
      </c>
      <c r="O7" s="218"/>
      <c r="P7" s="218" t="s">
        <v>2</v>
      </c>
      <c r="Q7" s="218" t="s">
        <v>3</v>
      </c>
      <c r="R7" s="218" t="s">
        <v>4</v>
      </c>
      <c r="S7" s="231" t="s">
        <v>44</v>
      </c>
      <c r="T7" s="217" t="s">
        <v>16</v>
      </c>
    </row>
    <row r="8" spans="1:24" ht="15.75" x14ac:dyDescent="0.25">
      <c r="B8" s="207"/>
      <c r="C8" s="201"/>
      <c r="D8" s="201"/>
      <c r="E8" s="184" t="s">
        <v>21</v>
      </c>
      <c r="F8" s="184" t="s">
        <v>22</v>
      </c>
      <c r="G8" s="201"/>
      <c r="H8" s="201"/>
      <c r="I8" s="201"/>
      <c r="J8" s="230"/>
      <c r="K8" s="202"/>
      <c r="L8" s="218"/>
      <c r="M8" s="218"/>
      <c r="N8" s="183" t="s">
        <v>21</v>
      </c>
      <c r="O8" s="183" t="s">
        <v>22</v>
      </c>
      <c r="P8" s="218"/>
      <c r="Q8" s="218"/>
      <c r="R8" s="218"/>
      <c r="S8" s="232"/>
      <c r="T8" s="217"/>
    </row>
    <row r="9" spans="1:24" ht="26.25" customHeight="1" x14ac:dyDescent="0.25">
      <c r="A9" s="15"/>
      <c r="B9" s="181" t="s">
        <v>5</v>
      </c>
      <c r="C9" s="182" t="s">
        <v>129</v>
      </c>
      <c r="D9" s="10">
        <v>4</v>
      </c>
      <c r="E9" s="3">
        <v>46328</v>
      </c>
      <c r="F9" s="3" t="s">
        <v>122</v>
      </c>
      <c r="G9" s="9">
        <v>670</v>
      </c>
      <c r="H9" s="9">
        <v>720</v>
      </c>
      <c r="I9" s="9">
        <v>770</v>
      </c>
      <c r="J9" s="9"/>
      <c r="K9" s="9" t="s">
        <v>29</v>
      </c>
      <c r="L9" s="10" t="s">
        <v>130</v>
      </c>
      <c r="M9" s="10">
        <v>5</v>
      </c>
      <c r="N9" s="3" t="s">
        <v>122</v>
      </c>
      <c r="O9" s="3" t="s">
        <v>114</v>
      </c>
      <c r="P9" s="9">
        <v>1327</v>
      </c>
      <c r="Q9" s="9">
        <v>1671</v>
      </c>
      <c r="R9" s="9">
        <v>2015</v>
      </c>
      <c r="S9" s="9"/>
      <c r="T9" s="9" t="s">
        <v>29</v>
      </c>
    </row>
    <row r="10" spans="1:24" ht="15.6" customHeight="1" x14ac:dyDescent="0.25">
      <c r="A10" s="17"/>
      <c r="B10" s="181" t="s">
        <v>19</v>
      </c>
      <c r="C10" s="182" t="s">
        <v>87</v>
      </c>
      <c r="D10" s="10"/>
      <c r="E10" s="3">
        <v>45789</v>
      </c>
      <c r="F10" s="3">
        <v>45942</v>
      </c>
      <c r="G10" s="9"/>
      <c r="H10" s="9"/>
      <c r="I10" s="9"/>
      <c r="J10" s="9"/>
      <c r="K10" s="9" t="s">
        <v>29</v>
      </c>
      <c r="L10" s="10" t="s">
        <v>77</v>
      </c>
      <c r="M10" s="10"/>
      <c r="N10" s="3">
        <v>45942</v>
      </c>
      <c r="O10" s="3" t="s">
        <v>74</v>
      </c>
      <c r="P10" s="9">
        <v>1580</v>
      </c>
      <c r="Q10" s="9">
        <v>1920</v>
      </c>
      <c r="R10" s="9">
        <v>2260</v>
      </c>
      <c r="S10" s="9"/>
      <c r="T10" s="9" t="s">
        <v>29</v>
      </c>
    </row>
    <row r="11" spans="1:24" ht="15.75" x14ac:dyDescent="0.25">
      <c r="A11" s="17"/>
      <c r="B11" s="181" t="s">
        <v>32</v>
      </c>
      <c r="C11" s="182" t="s">
        <v>76</v>
      </c>
      <c r="D11" s="10"/>
      <c r="E11" s="3">
        <v>45789</v>
      </c>
      <c r="F11" s="3">
        <v>45942</v>
      </c>
      <c r="G11" s="9"/>
      <c r="H11" s="9"/>
      <c r="I11" s="9"/>
      <c r="J11" s="9"/>
      <c r="K11" s="9" t="s">
        <v>29</v>
      </c>
      <c r="L11" s="10" t="s">
        <v>78</v>
      </c>
      <c r="M11" s="10"/>
      <c r="N11" s="3">
        <v>45942</v>
      </c>
      <c r="O11" s="3" t="s">
        <v>74</v>
      </c>
      <c r="P11" s="9"/>
      <c r="Q11" s="9"/>
      <c r="R11" s="9"/>
      <c r="S11" s="9"/>
      <c r="T11" s="9" t="s">
        <v>29</v>
      </c>
      <c r="X11" s="14">
        <v>550</v>
      </c>
    </row>
    <row r="12" spans="1:24" ht="15.75" customHeight="1" x14ac:dyDescent="0.25">
      <c r="A12" s="17"/>
      <c r="B12" s="10"/>
      <c r="C12" s="10" t="s">
        <v>53</v>
      </c>
      <c r="D12" s="10"/>
      <c r="E12" s="10"/>
      <c r="F12" s="10"/>
      <c r="G12" s="9"/>
      <c r="H12" s="9"/>
      <c r="I12" s="9"/>
      <c r="J12" s="9"/>
      <c r="K12" s="9"/>
      <c r="L12" s="10" t="s">
        <v>79</v>
      </c>
      <c r="M12" s="10"/>
      <c r="N12" s="10"/>
      <c r="O12" s="10"/>
      <c r="P12" s="9"/>
      <c r="Q12" s="9"/>
      <c r="R12" s="9"/>
      <c r="S12" s="9"/>
      <c r="T12" s="16"/>
      <c r="X12" s="14">
        <v>550</v>
      </c>
    </row>
    <row r="13" spans="1:24" ht="15.75" x14ac:dyDescent="0.25">
      <c r="A13" s="17"/>
      <c r="B13" s="10"/>
      <c r="C13" s="182" t="s">
        <v>91</v>
      </c>
      <c r="D13" s="10"/>
      <c r="E13" s="10"/>
      <c r="F13" s="10"/>
      <c r="G13" s="9"/>
      <c r="H13" s="9"/>
      <c r="I13" s="9"/>
      <c r="J13" s="9"/>
      <c r="K13" s="9"/>
      <c r="L13" s="10" t="s">
        <v>90</v>
      </c>
      <c r="M13" s="10"/>
      <c r="N13" s="10"/>
      <c r="O13" s="10"/>
      <c r="P13" s="9"/>
      <c r="Q13" s="9"/>
      <c r="R13" s="9"/>
      <c r="S13" s="9"/>
      <c r="T13" s="16"/>
      <c r="X13" s="14">
        <v>550</v>
      </c>
    </row>
    <row r="14" spans="1:24" ht="15.75" x14ac:dyDescent="0.25">
      <c r="A14" s="17"/>
      <c r="B14" s="10"/>
      <c r="C14" s="10"/>
      <c r="D14" s="10"/>
      <c r="E14" s="10"/>
      <c r="F14" s="10"/>
      <c r="G14" s="9"/>
      <c r="H14" s="9"/>
      <c r="I14" s="9"/>
      <c r="J14" s="9"/>
      <c r="K14" s="9"/>
      <c r="L14" s="10"/>
      <c r="M14" s="10"/>
      <c r="N14" s="10"/>
      <c r="O14" s="10"/>
      <c r="P14" s="9"/>
      <c r="Q14" s="9"/>
      <c r="R14" s="9"/>
      <c r="S14" s="9"/>
      <c r="T14" s="16"/>
      <c r="X14" s="14">
        <v>625</v>
      </c>
    </row>
    <row r="15" spans="1:24" ht="15.75" x14ac:dyDescent="0.25">
      <c r="A15" s="17"/>
      <c r="B15" s="35" t="s">
        <v>34</v>
      </c>
      <c r="C15" s="187" t="s">
        <v>12</v>
      </c>
      <c r="D15" s="188"/>
      <c r="E15" s="189" t="s">
        <v>33</v>
      </c>
      <c r="F15" s="190"/>
      <c r="G15" s="193" t="s">
        <v>32</v>
      </c>
      <c r="H15" s="194"/>
      <c r="I15" s="9"/>
      <c r="J15" s="9"/>
      <c r="K15" s="9"/>
      <c r="L15" s="10"/>
      <c r="M15" s="10"/>
      <c r="N15" s="10"/>
      <c r="O15" s="10"/>
      <c r="P15" s="9"/>
      <c r="Q15" s="9"/>
      <c r="R15" s="9"/>
      <c r="S15" s="9"/>
      <c r="T15" s="16"/>
    </row>
    <row r="16" spans="1:24" ht="15.75" x14ac:dyDescent="0.25">
      <c r="A16" s="17"/>
      <c r="B16" s="186" t="s">
        <v>6</v>
      </c>
      <c r="C16" s="191" t="s">
        <v>69</v>
      </c>
      <c r="D16" s="192"/>
      <c r="E16" s="191" t="s">
        <v>68</v>
      </c>
      <c r="F16" s="192"/>
      <c r="G16" s="191" t="s">
        <v>70</v>
      </c>
      <c r="H16" s="192"/>
      <c r="I16" s="9"/>
      <c r="J16" s="9"/>
      <c r="K16" s="9"/>
      <c r="L16" s="10"/>
      <c r="M16" s="10"/>
      <c r="N16" s="10"/>
      <c r="O16" s="10"/>
      <c r="P16" s="9"/>
      <c r="Q16" s="9"/>
      <c r="R16" s="9"/>
      <c r="S16" s="9"/>
      <c r="T16" s="16"/>
    </row>
    <row r="17" spans="2:24" ht="15.6" customHeight="1" x14ac:dyDescent="0.25">
      <c r="B17" s="186"/>
      <c r="C17" s="29"/>
      <c r="D17" s="29"/>
      <c r="E17" s="25">
        <v>10</v>
      </c>
      <c r="F17" s="25"/>
      <c r="G17" s="18">
        <v>10</v>
      </c>
      <c r="H17" s="18"/>
      <c r="I17" s="19"/>
      <c r="J17" s="19"/>
      <c r="K17" s="19"/>
      <c r="L17" s="180"/>
      <c r="M17" s="180"/>
      <c r="N17" s="180"/>
      <c r="O17" s="180"/>
      <c r="P17" s="19"/>
      <c r="Q17" s="19"/>
      <c r="R17" s="19"/>
      <c r="S17" s="19"/>
      <c r="T17" s="16"/>
    </row>
    <row r="18" spans="2:24" ht="15.75" x14ac:dyDescent="0.25">
      <c r="B18" s="186"/>
      <c r="C18" s="30"/>
      <c r="D18" s="30"/>
      <c r="E18" s="27"/>
      <c r="F18" s="27"/>
      <c r="G18" s="32"/>
      <c r="H18" s="32"/>
      <c r="I18" s="19"/>
      <c r="J18" s="19"/>
      <c r="K18" s="19"/>
      <c r="L18" s="180"/>
      <c r="M18" s="180"/>
      <c r="N18" s="180"/>
      <c r="O18" s="180"/>
      <c r="P18" s="19"/>
      <c r="Q18" s="19"/>
      <c r="R18" s="19"/>
      <c r="S18" s="19"/>
      <c r="T18" s="16"/>
    </row>
    <row r="19" spans="2:24" ht="15.75" x14ac:dyDescent="0.25">
      <c r="B19" s="180" t="s">
        <v>108</v>
      </c>
      <c r="C19" s="30"/>
      <c r="D19" s="30"/>
      <c r="E19" s="27"/>
      <c r="F19" s="27"/>
      <c r="G19" s="32"/>
      <c r="H19" s="32"/>
      <c r="I19" s="19"/>
      <c r="J19" s="19"/>
      <c r="K19" s="19"/>
      <c r="L19" s="180"/>
      <c r="M19" s="180"/>
      <c r="N19" s="180"/>
      <c r="O19" s="180"/>
      <c r="P19" s="19"/>
      <c r="Q19" s="19"/>
      <c r="R19" s="19"/>
      <c r="S19" s="19"/>
      <c r="T19" s="16"/>
    </row>
    <row r="20" spans="2:24" ht="15.75" x14ac:dyDescent="0.25">
      <c r="B20" s="180" t="s">
        <v>109</v>
      </c>
      <c r="C20" s="30"/>
      <c r="D20" s="30"/>
      <c r="E20" s="27"/>
      <c r="F20" s="27"/>
      <c r="G20" s="32"/>
      <c r="H20" s="32"/>
      <c r="I20" s="19"/>
      <c r="J20" s="19"/>
      <c r="K20" s="19"/>
      <c r="L20" s="180"/>
      <c r="M20" s="180"/>
      <c r="N20" s="180"/>
      <c r="O20" s="180"/>
      <c r="P20" s="19"/>
      <c r="Q20" s="19"/>
      <c r="R20" s="19"/>
      <c r="S20" s="19"/>
      <c r="T20" s="16"/>
    </row>
    <row r="21" spans="2:24" ht="15.75" x14ac:dyDescent="0.25">
      <c r="B21" s="178" t="s">
        <v>95</v>
      </c>
      <c r="C21" s="30">
        <v>300</v>
      </c>
      <c r="D21" s="30"/>
      <c r="E21" s="27"/>
      <c r="F21" s="27"/>
      <c r="G21" s="32"/>
      <c r="H21" s="32"/>
      <c r="I21" s="19"/>
      <c r="J21" s="19"/>
      <c r="K21" s="19"/>
      <c r="L21" s="180"/>
      <c r="M21" s="180"/>
      <c r="N21" s="180"/>
      <c r="O21" s="180"/>
      <c r="P21" s="19"/>
      <c r="Q21" s="19"/>
      <c r="R21" s="19"/>
      <c r="S21" s="19"/>
      <c r="T21" s="16"/>
    </row>
    <row r="22" spans="2:24" ht="15.75" x14ac:dyDescent="0.25">
      <c r="B22" s="180" t="s">
        <v>69</v>
      </c>
      <c r="C22" s="31">
        <f>1900/7</f>
        <v>271.42857142857144</v>
      </c>
      <c r="D22" s="31"/>
      <c r="E22" s="28"/>
      <c r="F22" s="28"/>
      <c r="G22" s="33"/>
      <c r="H22" s="33"/>
      <c r="I22" s="19"/>
      <c r="J22" s="19"/>
      <c r="K22" s="19"/>
      <c r="L22" s="12"/>
      <c r="M22" s="12"/>
      <c r="N22" s="12"/>
      <c r="O22" s="12"/>
      <c r="P22" s="19"/>
      <c r="Q22" s="19"/>
      <c r="R22" s="19"/>
      <c r="S22" s="19"/>
      <c r="T22" s="16"/>
    </row>
    <row r="23" spans="2:24" ht="15.75" x14ac:dyDescent="0.25">
      <c r="B23" s="180" t="s">
        <v>30</v>
      </c>
      <c r="C23" s="30">
        <v>485</v>
      </c>
      <c r="D23" s="31"/>
      <c r="E23" s="28"/>
      <c r="F23" s="28"/>
      <c r="G23" s="33"/>
      <c r="H23" s="33"/>
      <c r="I23" s="19"/>
      <c r="J23" s="19"/>
      <c r="K23" s="19"/>
      <c r="L23" s="12"/>
      <c r="M23" s="12"/>
      <c r="N23" s="12"/>
      <c r="O23" s="12"/>
      <c r="P23" s="19"/>
      <c r="Q23" s="19"/>
      <c r="R23" s="19"/>
      <c r="S23" s="19"/>
      <c r="T23" s="16"/>
    </row>
    <row r="24" spans="2:24" ht="15.75" x14ac:dyDescent="0.25">
      <c r="B24" s="180" t="s">
        <v>37</v>
      </c>
      <c r="C24" s="31"/>
      <c r="D24" s="31"/>
      <c r="E24" s="28"/>
      <c r="F24" s="28"/>
      <c r="G24" s="33"/>
      <c r="H24" s="33"/>
      <c r="I24" s="19"/>
      <c r="J24" s="19"/>
      <c r="K24" s="19"/>
      <c r="L24" s="12"/>
      <c r="M24" s="12"/>
      <c r="N24" s="12"/>
      <c r="O24" s="12"/>
      <c r="P24" s="19"/>
      <c r="Q24" s="19"/>
      <c r="R24" s="19"/>
      <c r="S24" s="19"/>
      <c r="T24" s="16"/>
    </row>
    <row r="25" spans="2:24" ht="15.75" x14ac:dyDescent="0.25">
      <c r="B25" s="180" t="s">
        <v>57</v>
      </c>
      <c r="C25" s="31"/>
      <c r="D25" s="31"/>
      <c r="E25" s="28"/>
      <c r="F25" s="28"/>
      <c r="G25" s="33"/>
      <c r="H25" s="33"/>
      <c r="I25" s="19"/>
      <c r="J25" s="19"/>
      <c r="K25" s="19"/>
      <c r="L25" s="12"/>
      <c r="M25" s="12"/>
      <c r="N25" s="12"/>
      <c r="O25" s="12"/>
      <c r="P25" s="19"/>
      <c r="Q25" s="19"/>
      <c r="R25" s="19"/>
      <c r="S25" s="19"/>
      <c r="T25" s="16"/>
    </row>
    <row r="26" spans="2:24" ht="15.75" x14ac:dyDescent="0.25">
      <c r="B26" s="180" t="s">
        <v>9</v>
      </c>
      <c r="C26" s="31">
        <v>50</v>
      </c>
      <c r="D26" s="31"/>
      <c r="E26" s="28"/>
      <c r="F26" s="28"/>
      <c r="G26" s="33"/>
      <c r="H26" s="33"/>
      <c r="I26" s="19"/>
      <c r="J26" s="19"/>
      <c r="K26" s="19"/>
      <c r="L26" s="12"/>
      <c r="M26" s="12"/>
      <c r="N26" s="12"/>
      <c r="O26" s="12"/>
      <c r="P26" s="19"/>
      <c r="Q26" s="19"/>
      <c r="R26" s="19"/>
      <c r="S26" s="19"/>
      <c r="T26" s="16"/>
    </row>
    <row r="27" spans="2:24" ht="15.75" x14ac:dyDescent="0.25">
      <c r="B27" s="196">
        <v>90</v>
      </c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44"/>
      <c r="T27" s="20"/>
    </row>
    <row r="28" spans="2:24" ht="18.75" x14ac:dyDescent="0.25">
      <c r="B28" s="180" t="s">
        <v>11</v>
      </c>
      <c r="C28" s="180"/>
      <c r="D28" s="180"/>
      <c r="E28" s="180"/>
      <c r="F28" s="180"/>
      <c r="G28" s="197" t="s">
        <v>12</v>
      </c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2"/>
      <c r="S28" s="45"/>
      <c r="T28" s="20"/>
    </row>
    <row r="29" spans="2:24" ht="15.75" x14ac:dyDescent="0.25">
      <c r="B29" s="12"/>
      <c r="C29" s="12" t="s">
        <v>111</v>
      </c>
      <c r="D29" s="12"/>
      <c r="E29" s="12"/>
      <c r="F29" s="12"/>
      <c r="G29" s="186" t="s">
        <v>13</v>
      </c>
      <c r="H29" s="186"/>
      <c r="I29" s="186"/>
      <c r="J29" s="180"/>
      <c r="K29" s="180"/>
      <c r="L29" s="180"/>
      <c r="M29" s="180"/>
      <c r="N29" s="180"/>
      <c r="O29" s="12"/>
      <c r="P29" s="186" t="s">
        <v>14</v>
      </c>
      <c r="Q29" s="186"/>
      <c r="R29" s="186"/>
      <c r="S29" s="46"/>
      <c r="T29" s="20"/>
    </row>
    <row r="30" spans="2:24" ht="31.5" x14ac:dyDescent="0.25">
      <c r="B30" s="13"/>
      <c r="C30" s="13"/>
      <c r="D30" s="13"/>
      <c r="E30" s="13"/>
      <c r="F30" s="13" t="s">
        <v>11</v>
      </c>
      <c r="G30" s="34" t="s">
        <v>2</v>
      </c>
      <c r="H30" s="34" t="s">
        <v>3</v>
      </c>
      <c r="I30" s="34" t="s">
        <v>4</v>
      </c>
      <c r="J30" s="34" t="s">
        <v>44</v>
      </c>
      <c r="K30" s="34"/>
      <c r="L30" s="34"/>
      <c r="M30" s="34"/>
      <c r="N30" s="34"/>
      <c r="O30" s="34" t="s">
        <v>15</v>
      </c>
      <c r="P30" s="34" t="s">
        <v>2</v>
      </c>
      <c r="Q30" s="34" t="s">
        <v>3</v>
      </c>
      <c r="R30" s="34" t="s">
        <v>4</v>
      </c>
      <c r="S30" s="34" t="s">
        <v>44</v>
      </c>
      <c r="T30" s="34"/>
      <c r="V30" s="142">
        <f>P31+P40</f>
        <v>5763.9285714285716</v>
      </c>
      <c r="W30" s="142">
        <f>Q31+Q40</f>
        <v>4851.4285714285716</v>
      </c>
      <c r="X30" s="142">
        <f>R31+R40</f>
        <v>4395.1785714285716</v>
      </c>
    </row>
    <row r="31" spans="2:24" ht="15.75" x14ac:dyDescent="0.25">
      <c r="B31" s="180"/>
      <c r="C31" s="198"/>
      <c r="D31" s="180"/>
      <c r="E31" s="198"/>
      <c r="F31" s="180" t="s">
        <v>131</v>
      </c>
      <c r="G31" s="18">
        <f>((G9*D9)+(P9*M9))/2</f>
        <v>4657.5</v>
      </c>
      <c r="H31" s="18">
        <f>((D9*H9)+(M9*Q9))/3</f>
        <v>3745</v>
      </c>
      <c r="I31" s="18">
        <f>((D9*I9)+(M9*R9))/4</f>
        <v>3288.75</v>
      </c>
      <c r="J31" s="18">
        <f>((D9*J9)+(M9*S9))/5</f>
        <v>0</v>
      </c>
      <c r="K31" s="18"/>
      <c r="L31" s="18"/>
      <c r="M31" s="18"/>
      <c r="N31" s="18"/>
      <c r="O31" s="18">
        <f>C18+C19+C20+C21+C22+C23+C24+C25+C26</f>
        <v>1106.4285714285716</v>
      </c>
      <c r="P31" s="18">
        <f>G31+O31</f>
        <v>5763.9285714285716</v>
      </c>
      <c r="Q31" s="18">
        <f>H31+O31</f>
        <v>4851.4285714285716</v>
      </c>
      <c r="R31" s="18">
        <f>I31+O31</f>
        <v>4395.1785714285716</v>
      </c>
      <c r="S31" s="18">
        <f>J31+O31</f>
        <v>1106.4285714285716</v>
      </c>
      <c r="T31" s="18"/>
    </row>
    <row r="32" spans="2:24" ht="15.75" x14ac:dyDescent="0.25">
      <c r="B32" s="180"/>
      <c r="C32" s="200"/>
      <c r="D32" s="180"/>
      <c r="E32" s="200"/>
      <c r="F32" s="180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2:20" ht="15.75" x14ac:dyDescent="0.25">
      <c r="B33" s="180"/>
      <c r="C33" s="198"/>
      <c r="D33" s="180"/>
      <c r="E33" s="198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46"/>
      <c r="T33" s="20"/>
    </row>
    <row r="34" spans="2:20" ht="15.75" x14ac:dyDescent="0.25">
      <c r="B34" s="180"/>
      <c r="C34" s="200"/>
      <c r="D34" s="180"/>
      <c r="E34" s="20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46"/>
      <c r="T34" s="20"/>
    </row>
    <row r="35" spans="2:20" ht="15.75" x14ac:dyDescent="0.25">
      <c r="B35" s="180"/>
      <c r="C35" s="198"/>
      <c r="D35" s="180"/>
      <c r="E35" s="198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46"/>
      <c r="T35" s="20"/>
    </row>
    <row r="36" spans="2:20" ht="15.75" x14ac:dyDescent="0.25">
      <c r="B36" s="180"/>
      <c r="C36" s="200"/>
      <c r="D36" s="180"/>
      <c r="E36" s="20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46"/>
      <c r="T36" s="20"/>
    </row>
    <row r="37" spans="2:20" ht="18.75" x14ac:dyDescent="0.25">
      <c r="B37" s="180"/>
      <c r="C37" s="180"/>
      <c r="D37" s="180"/>
      <c r="E37" s="180"/>
      <c r="F37" s="180"/>
      <c r="G37" s="228" t="s">
        <v>18</v>
      </c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180"/>
      <c r="S37" s="46"/>
      <c r="T37" s="20"/>
    </row>
    <row r="38" spans="2:20" ht="15.75" x14ac:dyDescent="0.25">
      <c r="B38" s="180"/>
      <c r="C38" s="180"/>
      <c r="D38" s="180"/>
      <c r="E38" s="180"/>
      <c r="F38" s="180"/>
      <c r="G38" s="186" t="s">
        <v>18</v>
      </c>
      <c r="H38" s="186"/>
      <c r="I38" s="186"/>
      <c r="J38" s="180"/>
      <c r="K38" s="180"/>
      <c r="L38" s="180"/>
      <c r="M38" s="180"/>
      <c r="N38" s="180"/>
      <c r="O38" s="12"/>
      <c r="P38" s="186" t="s">
        <v>14</v>
      </c>
      <c r="Q38" s="186"/>
      <c r="R38" s="186"/>
      <c r="S38" s="46"/>
      <c r="T38" s="20"/>
    </row>
    <row r="39" spans="2:20" ht="31.5" x14ac:dyDescent="0.25">
      <c r="B39" s="180"/>
      <c r="C39" s="13"/>
      <c r="D39" s="13"/>
      <c r="E39" s="13"/>
      <c r="F39" s="13" t="s">
        <v>11</v>
      </c>
      <c r="G39" s="26" t="s">
        <v>2</v>
      </c>
      <c r="H39" s="26" t="s">
        <v>3</v>
      </c>
      <c r="I39" s="34" t="s">
        <v>4</v>
      </c>
      <c r="J39" s="34" t="s">
        <v>44</v>
      </c>
      <c r="K39" s="26"/>
      <c r="L39" s="26"/>
      <c r="M39" s="26"/>
      <c r="N39" s="26"/>
      <c r="O39" s="26" t="s">
        <v>15</v>
      </c>
      <c r="P39" s="26" t="s">
        <v>2</v>
      </c>
      <c r="Q39" s="26" t="s">
        <v>3</v>
      </c>
      <c r="R39" s="26" t="s">
        <v>4</v>
      </c>
      <c r="S39" s="34" t="s">
        <v>44</v>
      </c>
      <c r="T39" s="20"/>
    </row>
    <row r="40" spans="2:20" ht="15.75" x14ac:dyDescent="0.25">
      <c r="B40" s="180"/>
      <c r="C40" s="198"/>
      <c r="D40" s="180"/>
      <c r="E40" s="198"/>
      <c r="F40" s="180" t="s">
        <v>27</v>
      </c>
      <c r="G40" s="18">
        <f>((D10*G10)+(M10*P10))/2</f>
        <v>0</v>
      </c>
      <c r="H40" s="18">
        <f>((D10*H10)+(M10*Q10))/3</f>
        <v>0</v>
      </c>
      <c r="I40" s="18">
        <f>((D10*I10)+(M10*R10))/4</f>
        <v>0</v>
      </c>
      <c r="J40" s="18">
        <f>((D9*J9)+(P9*S9))/5</f>
        <v>0</v>
      </c>
      <c r="K40" s="24"/>
      <c r="L40" s="24"/>
      <c r="M40" s="24"/>
      <c r="N40" s="24"/>
      <c r="O40" s="18">
        <f>SUM(E18:E26)</f>
        <v>0</v>
      </c>
      <c r="P40" s="18">
        <f>G40+O40</f>
        <v>0</v>
      </c>
      <c r="Q40" s="18">
        <f>H40+O40</f>
        <v>0</v>
      </c>
      <c r="R40" s="18">
        <f>I40+O40</f>
        <v>0</v>
      </c>
      <c r="S40" s="18">
        <f>J40+O40</f>
        <v>0</v>
      </c>
    </row>
    <row r="41" spans="2:20" ht="15.75" x14ac:dyDescent="0.25">
      <c r="B41" s="180"/>
      <c r="C41" s="200"/>
      <c r="D41" s="180"/>
      <c r="E41" s="200"/>
      <c r="F41" s="180" t="s">
        <v>26</v>
      </c>
      <c r="G41" s="18">
        <f>((D22*G22)+(M22*P22))/2</f>
        <v>0</v>
      </c>
      <c r="H41" s="18">
        <f>((D22*H22)+(M22*Q22))/3</f>
        <v>0</v>
      </c>
      <c r="I41" s="18">
        <f>((D22*I22)+(M22*R22))/4</f>
        <v>0</v>
      </c>
      <c r="J41" s="18">
        <f>((D22*J22)+(M22*S22))/5</f>
        <v>0</v>
      </c>
      <c r="K41" s="24"/>
      <c r="L41" s="24"/>
      <c r="M41" s="24"/>
      <c r="N41" s="24"/>
      <c r="O41" s="18">
        <f>C30+C31+C32+C33+C34+C35</f>
        <v>0</v>
      </c>
      <c r="P41" s="18">
        <f>G41+O41</f>
        <v>0</v>
      </c>
      <c r="Q41" s="18">
        <f>H41+O41</f>
        <v>0</v>
      </c>
      <c r="R41" s="18">
        <f>I41+O41</f>
        <v>0</v>
      </c>
      <c r="S41" s="18">
        <f>J41+O41</f>
        <v>0</v>
      </c>
    </row>
    <row r="42" spans="2:20" ht="15.75" x14ac:dyDescent="0.25">
      <c r="B42" s="180"/>
      <c r="C42" s="185"/>
      <c r="D42" s="180"/>
      <c r="E42" s="185"/>
      <c r="F42" s="18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180"/>
      <c r="S42" s="46"/>
    </row>
    <row r="43" spans="2:20" ht="15.75" x14ac:dyDescent="0.25">
      <c r="B43" s="180"/>
      <c r="C43" s="185"/>
      <c r="D43" s="180"/>
      <c r="E43" s="185"/>
      <c r="F43" s="18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180"/>
      <c r="S43" s="46"/>
    </row>
    <row r="44" spans="2:20" ht="15.75" x14ac:dyDescent="0.25">
      <c r="B44" s="180"/>
      <c r="C44" s="185"/>
      <c r="D44" s="180"/>
      <c r="E44" s="185"/>
      <c r="F44" s="18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180"/>
      <c r="S44" s="46"/>
    </row>
    <row r="45" spans="2:20" ht="15.75" x14ac:dyDescent="0.25">
      <c r="B45" s="180"/>
      <c r="C45" s="198"/>
      <c r="D45" s="180"/>
      <c r="E45" s="198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46"/>
    </row>
    <row r="46" spans="2:20" ht="18.75" x14ac:dyDescent="0.25">
      <c r="B46" s="180"/>
      <c r="C46" s="200"/>
      <c r="D46" s="180"/>
      <c r="E46" s="200"/>
      <c r="F46" s="180"/>
      <c r="G46" s="195" t="s">
        <v>32</v>
      </c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80"/>
      <c r="S46" s="46"/>
    </row>
    <row r="47" spans="2:20" ht="15.75" x14ac:dyDescent="0.25">
      <c r="B47" s="180"/>
      <c r="C47" s="198"/>
      <c r="D47" s="180"/>
      <c r="E47" s="198"/>
      <c r="F47" s="180"/>
      <c r="G47" s="186" t="s">
        <v>18</v>
      </c>
      <c r="H47" s="186"/>
      <c r="I47" s="186"/>
      <c r="J47" s="180"/>
      <c r="K47" s="180"/>
      <c r="L47" s="180"/>
      <c r="M47" s="180"/>
      <c r="N47" s="180"/>
      <c r="O47" s="12"/>
      <c r="P47" s="186" t="s">
        <v>14</v>
      </c>
      <c r="Q47" s="186"/>
      <c r="R47" s="186"/>
      <c r="S47" s="46"/>
    </row>
    <row r="48" spans="2:20" ht="15.75" x14ac:dyDescent="0.25">
      <c r="B48" s="180"/>
      <c r="C48" s="200"/>
      <c r="D48" s="180"/>
      <c r="E48" s="200"/>
      <c r="F48" s="13" t="s">
        <v>11</v>
      </c>
      <c r="G48" s="26" t="s">
        <v>2</v>
      </c>
      <c r="H48" s="26" t="s">
        <v>3</v>
      </c>
      <c r="I48" s="26" t="s">
        <v>4</v>
      </c>
      <c r="J48" s="26"/>
      <c r="K48" s="26"/>
      <c r="L48" s="26"/>
      <c r="M48" s="26"/>
      <c r="N48" s="26"/>
      <c r="O48" s="26" t="s">
        <v>15</v>
      </c>
      <c r="P48" s="26" t="s">
        <v>2</v>
      </c>
      <c r="Q48" s="26" t="s">
        <v>3</v>
      </c>
      <c r="R48" s="26" t="s">
        <v>4</v>
      </c>
      <c r="S48" s="47"/>
    </row>
    <row r="49" spans="2:19" ht="15.75" x14ac:dyDescent="0.25">
      <c r="B49" s="180"/>
      <c r="C49" s="179"/>
      <c r="D49" s="180"/>
      <c r="E49" s="179"/>
      <c r="F49" s="180" t="s">
        <v>27</v>
      </c>
      <c r="G49" s="18">
        <f>((D11*G11)+(M11*P11))/2</f>
        <v>0</v>
      </c>
      <c r="H49" s="18">
        <f>((D11*H11)+(M11*Q11))/3</f>
        <v>0</v>
      </c>
      <c r="I49" s="18">
        <f>((D11*I11)+(M11*R11))/4</f>
        <v>0</v>
      </c>
      <c r="J49" s="24"/>
      <c r="K49" s="24"/>
      <c r="L49" s="24"/>
      <c r="M49" s="24"/>
      <c r="N49" s="24"/>
      <c r="O49" s="24">
        <f>SUM(G18:G26)</f>
        <v>0</v>
      </c>
      <c r="P49" s="24">
        <f>G49+O49</f>
        <v>0</v>
      </c>
      <c r="Q49" s="24">
        <f>H49+O49</f>
        <v>0</v>
      </c>
      <c r="R49" s="24">
        <f>I49+O49</f>
        <v>0</v>
      </c>
      <c r="S49" s="48"/>
    </row>
    <row r="50" spans="2:19" ht="15.75" x14ac:dyDescent="0.25">
      <c r="B50" s="180"/>
      <c r="C50" s="179"/>
      <c r="D50" s="180"/>
      <c r="E50" s="179"/>
      <c r="F50" s="180" t="s">
        <v>26</v>
      </c>
      <c r="G50" s="24"/>
      <c r="H50" s="24"/>
      <c r="I50" s="24"/>
      <c r="J50" s="24"/>
      <c r="K50" s="24"/>
      <c r="L50" s="24"/>
      <c r="M50" s="24"/>
      <c r="N50" s="24"/>
      <c r="O50" s="24"/>
      <c r="P50" s="24">
        <f>G50+O50</f>
        <v>0</v>
      </c>
      <c r="Q50" s="24">
        <f>H50+O50</f>
        <v>0</v>
      </c>
      <c r="R50" s="24">
        <f>I50+O50</f>
        <v>0</v>
      </c>
      <c r="S50" s="48"/>
    </row>
    <row r="51" spans="2:19" ht="15.75" x14ac:dyDescent="0.25">
      <c r="B51" s="180"/>
      <c r="C51" s="179"/>
      <c r="D51" s="180"/>
      <c r="E51" s="179"/>
      <c r="F51" s="18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48"/>
    </row>
    <row r="52" spans="2:19" ht="15.75" x14ac:dyDescent="0.25">
      <c r="B52" s="180"/>
      <c r="C52" s="179"/>
      <c r="D52" s="180"/>
      <c r="E52" s="179"/>
      <c r="F52" s="180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48"/>
    </row>
    <row r="53" spans="2:19" ht="15.75" x14ac:dyDescent="0.25">
      <c r="B53" s="180"/>
      <c r="C53" s="179"/>
      <c r="D53" s="180"/>
      <c r="E53" s="179"/>
      <c r="F53" s="180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48"/>
    </row>
    <row r="54" spans="2:19" ht="15.75" x14ac:dyDescent="0.25"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46"/>
    </row>
    <row r="55" spans="2:19" x14ac:dyDescent="0.25">
      <c r="B55" s="219" t="s">
        <v>36</v>
      </c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1"/>
      <c r="S55" s="49"/>
    </row>
    <row r="56" spans="2:19" x14ac:dyDescent="0.25">
      <c r="B56" s="222"/>
      <c r="C56" s="223"/>
      <c r="D56" s="223"/>
      <c r="E56" s="223"/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49"/>
    </row>
    <row r="57" spans="2:19" x14ac:dyDescent="0.25">
      <c r="B57" s="222"/>
      <c r="C57" s="223"/>
      <c r="D57" s="223"/>
      <c r="E57" s="223"/>
      <c r="F57" s="223"/>
      <c r="G57" s="223"/>
      <c r="H57" s="223"/>
      <c r="I57" s="223"/>
      <c r="J57" s="223"/>
      <c r="K57" s="223"/>
      <c r="L57" s="223"/>
      <c r="M57" s="223"/>
      <c r="N57" s="223"/>
      <c r="O57" s="223"/>
      <c r="P57" s="223"/>
      <c r="Q57" s="223"/>
      <c r="R57" s="224"/>
      <c r="S57" s="49"/>
    </row>
    <row r="58" spans="2:19" x14ac:dyDescent="0.25">
      <c r="B58" s="222"/>
      <c r="C58" s="223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49"/>
    </row>
    <row r="59" spans="2:19" x14ac:dyDescent="0.25">
      <c r="B59" s="222"/>
      <c r="C59" s="223"/>
      <c r="D59" s="223"/>
      <c r="E59" s="223"/>
      <c r="F59" s="223"/>
      <c r="G59" s="223"/>
      <c r="H59" s="223"/>
      <c r="I59" s="223"/>
      <c r="J59" s="223"/>
      <c r="K59" s="223"/>
      <c r="L59" s="223"/>
      <c r="M59" s="223"/>
      <c r="N59" s="223"/>
      <c r="O59" s="223"/>
      <c r="P59" s="223"/>
      <c r="Q59" s="223"/>
      <c r="R59" s="224"/>
      <c r="S59" s="49"/>
    </row>
    <row r="60" spans="2:19" x14ac:dyDescent="0.25">
      <c r="B60" s="222"/>
      <c r="C60" s="223"/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4"/>
      <c r="S60" s="49"/>
    </row>
    <row r="61" spans="2:19" ht="55.15" customHeight="1" x14ac:dyDescent="0.25"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7"/>
      <c r="S61" s="49"/>
    </row>
  </sheetData>
  <mergeCells count="51">
    <mergeCell ref="B55:R61"/>
    <mergeCell ref="C45:C46"/>
    <mergeCell ref="E45:E46"/>
    <mergeCell ref="G46:Q46"/>
    <mergeCell ref="C47:C48"/>
    <mergeCell ref="E47:E48"/>
    <mergeCell ref="G47:I47"/>
    <mergeCell ref="P47:R47"/>
    <mergeCell ref="C35:C36"/>
    <mergeCell ref="E35:E36"/>
    <mergeCell ref="G37:Q37"/>
    <mergeCell ref="G38:I38"/>
    <mergeCell ref="P38:R38"/>
    <mergeCell ref="C40:C41"/>
    <mergeCell ref="E40:E41"/>
    <mergeCell ref="G29:I29"/>
    <mergeCell ref="P29:R29"/>
    <mergeCell ref="C31:C32"/>
    <mergeCell ref="E31:E32"/>
    <mergeCell ref="C33:C34"/>
    <mergeCell ref="E33:E34"/>
    <mergeCell ref="B16:B18"/>
    <mergeCell ref="C16:D16"/>
    <mergeCell ref="E16:F16"/>
    <mergeCell ref="G16:H16"/>
    <mergeCell ref="B27:R27"/>
    <mergeCell ref="G28:Q28"/>
    <mergeCell ref="P7:P8"/>
    <mergeCell ref="Q7:Q8"/>
    <mergeCell ref="R7:R8"/>
    <mergeCell ref="S7:S8"/>
    <mergeCell ref="T7:T8"/>
    <mergeCell ref="C15:D15"/>
    <mergeCell ref="E15:F15"/>
    <mergeCell ref="G15:H15"/>
    <mergeCell ref="I7:I8"/>
    <mergeCell ref="J7:J8"/>
    <mergeCell ref="K7:K8"/>
    <mergeCell ref="L7:L8"/>
    <mergeCell ref="M7:M8"/>
    <mergeCell ref="N7:O7"/>
    <mergeCell ref="B4:T4"/>
    <mergeCell ref="B5:T5"/>
    <mergeCell ref="B6:B8"/>
    <mergeCell ref="C6:K6"/>
    <mergeCell ref="L6:T6"/>
    <mergeCell ref="C7:C8"/>
    <mergeCell ref="D7:D8"/>
    <mergeCell ref="E7:F7"/>
    <mergeCell ref="G7:G8"/>
    <mergeCell ref="H7:H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715 Langkah sedaya wisata </vt:lpstr>
      <vt:lpstr>739 DNA Umrah </vt:lpstr>
      <vt:lpstr>756 SMM</vt:lpstr>
      <vt:lpstr>750 SMM</vt:lpstr>
      <vt:lpstr>771 Alkarim Travel</vt:lpstr>
      <vt:lpstr>436 Tony's Group</vt:lpstr>
      <vt:lpstr>772</vt:lpstr>
      <vt:lpstr>787 Shahira Travel</vt:lpstr>
      <vt:lpstr>804 SMM</vt:lpstr>
      <vt:lpstr>815 Mrs Hestin (Individual)</vt:lpstr>
      <vt:lpstr>896 Orchid Instead Royal Dar Em</vt:lpstr>
      <vt:lpstr>977 nurain travel </vt:lpstr>
      <vt:lpstr>976 mawaddah travel </vt:lpstr>
      <vt:lpstr>979 nour el ain</vt:lpstr>
      <vt:lpstr>788 Fitri Group</vt:lpstr>
      <vt:lpstr>1022 Syifaul Qulub</vt:lpstr>
      <vt:lpstr>1074 Madinah Tour Travel</vt:lpstr>
      <vt:lpstr>1311 Al Buraq </vt:lpstr>
      <vt:lpstr>1866 Fio Holiday </vt:lpstr>
      <vt:lpstr>1892 Haidar Tour</vt:lpstr>
      <vt:lpstr>5 PAX</vt:lpstr>
      <vt:lpstr>2099 Alkariim Travel</vt:lpstr>
      <vt:lpstr>1958 Wipa Tour</vt:lpstr>
      <vt:lpstr>2103 Wipa</vt:lpstr>
      <vt:lpstr>Anaser 3062</vt:lpstr>
      <vt:lpstr>WIPA Tour 3049</vt:lpstr>
      <vt:lpstr>3027 Mr Marzuki (Jambi) </vt:lpstr>
      <vt:lpstr>3061 Anaser</vt:lpstr>
      <vt:lpstr>3049 WIPA Tour</vt:lpstr>
      <vt:lpstr>3061 Anaser (New one)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Diyar Ulbait</dc:creator>
  <cp:lastModifiedBy>DELL</cp:lastModifiedBy>
  <dcterms:created xsi:type="dcterms:W3CDTF">2023-09-18T14:34:05Z</dcterms:created>
  <dcterms:modified xsi:type="dcterms:W3CDTF">2026-01-06T11:17:55Z</dcterms:modified>
</cp:coreProperties>
</file>