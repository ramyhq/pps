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iab\"/>
    </mc:Choice>
  </mc:AlternateContent>
  <bookViews>
    <workbookView xWindow="0" yWindow="0" windowWidth="28800" windowHeight="13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9" i="1" l="1"/>
  <c r="Q49" i="1"/>
  <c r="P49" i="1"/>
  <c r="O48" i="1"/>
  <c r="I48" i="1"/>
  <c r="R48" i="1" s="1"/>
  <c r="H48" i="1"/>
  <c r="Q48" i="1" s="1"/>
  <c r="G48" i="1"/>
  <c r="P48" i="1" s="1"/>
  <c r="O40" i="1"/>
  <c r="S40" i="1" s="1"/>
  <c r="J40" i="1"/>
  <c r="I40" i="1"/>
  <c r="R40" i="1" s="1"/>
  <c r="H40" i="1"/>
  <c r="Q40" i="1" s="1"/>
  <c r="G40" i="1"/>
  <c r="P40" i="1" s="1"/>
  <c r="P39" i="1"/>
  <c r="O39" i="1"/>
  <c r="J39" i="1"/>
  <c r="S39" i="1" s="1"/>
  <c r="I39" i="1"/>
  <c r="R39" i="1" s="1"/>
  <c r="H39" i="1"/>
  <c r="Q39" i="1" s="1"/>
  <c r="G39" i="1"/>
  <c r="Q30" i="1"/>
  <c r="O30" i="1"/>
  <c r="J30" i="1"/>
  <c r="S30" i="1" s="1"/>
  <c r="I30" i="1"/>
  <c r="R30" i="1" s="1"/>
  <c r="H30" i="1"/>
  <c r="G30" i="1"/>
  <c r="P30" i="1" s="1"/>
</calcChain>
</file>

<file path=xl/sharedStrings.xml><?xml version="1.0" encoding="utf-8"?>
<sst xmlns="http://schemas.openxmlformats.org/spreadsheetml/2006/main" count="103" uniqueCount="49">
  <si>
    <t xml:space="preserve">Qoutation  </t>
  </si>
  <si>
    <t>Cost</t>
  </si>
  <si>
    <t>PACKAGE</t>
  </si>
  <si>
    <t>MADINAH</t>
  </si>
  <si>
    <t>MAKKAH</t>
  </si>
  <si>
    <t>Hotel</t>
  </si>
  <si>
    <t>NTS</t>
  </si>
  <si>
    <t>DATE</t>
  </si>
  <si>
    <t>DBL</t>
  </si>
  <si>
    <t>TPL</t>
  </si>
  <si>
    <t>QUAD</t>
  </si>
  <si>
    <t>QUINT</t>
  </si>
  <si>
    <t>M/P</t>
  </si>
  <si>
    <t>FROM</t>
  </si>
  <si>
    <t>TO</t>
  </si>
  <si>
    <t xml:space="preserve">GOLDEN </t>
  </si>
  <si>
    <t>Odest</t>
  </si>
  <si>
    <t xml:space="preserve">FB </t>
  </si>
  <si>
    <t>Snood</t>
  </si>
  <si>
    <t>15/12/2025</t>
  </si>
  <si>
    <t>SILVER</t>
  </si>
  <si>
    <t>Madin Tayba</t>
  </si>
  <si>
    <t>Olyan</t>
  </si>
  <si>
    <t>Economy</t>
  </si>
  <si>
    <t>Safwa</t>
  </si>
  <si>
    <t>Alansar Golden Tulip</t>
  </si>
  <si>
    <t>Services</t>
  </si>
  <si>
    <t>Golden</t>
  </si>
  <si>
    <t>Silver</t>
  </si>
  <si>
    <t>Transport</t>
  </si>
  <si>
    <t>Hiace</t>
  </si>
  <si>
    <t>Staria</t>
  </si>
  <si>
    <t>Bus</t>
  </si>
  <si>
    <t xml:space="preserve">Meal </t>
  </si>
  <si>
    <t>Snaks &amp; Juice</t>
  </si>
  <si>
    <t>Visa</t>
  </si>
  <si>
    <t>Ground Handling</t>
  </si>
  <si>
    <t>TIPS</t>
  </si>
  <si>
    <t>PROFIT</t>
  </si>
  <si>
    <t>Sales</t>
  </si>
  <si>
    <t>Package</t>
  </si>
  <si>
    <t>GOLDEN</t>
  </si>
  <si>
    <t>TOTAL</t>
  </si>
  <si>
    <t>EXPENSES</t>
  </si>
  <si>
    <t>10 PAX</t>
  </si>
  <si>
    <t xml:space="preserve">Silver </t>
  </si>
  <si>
    <t>25-34</t>
  </si>
  <si>
    <t>35+</t>
  </si>
  <si>
    <t>all rates with saudi riyal  Per Pax .
Pleas note that Duration of stay in Medina is 4 days and in Mecca is 4 days. 
Minimum Occupany in DBL room is 2 pax, in TPL 3 Pax, in Quad 4 Pax the rates may be changes in high seasons .
transport in saudia including (  APT to HTL )&amp;( Makkah to Madina ) &amp; (Mazarat Makkah &amp; Madina )&amp; ( HTL to APT).
Snacks, Water and juice on a trip to Mecca and Medina. in Golden and Silver Package .
Tasrih Umra &amp; Tasrih Rauda .
Hotels in makkah &amp; Madina room Bassed On FB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</si>
</sst>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C659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0B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2" fillId="7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4" fontId="2" fillId="8" borderId="4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7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2" fillId="7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1" fontId="2" fillId="7" borderId="5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1" fontId="2" fillId="7" borderId="8" xfId="0" applyNumberFormat="1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1" fontId="3" fillId="9" borderId="4" xfId="0" applyNumberFormat="1" applyFont="1" applyFill="1" applyBorder="1" applyAlignment="1">
      <alignment horizontal="center" vertical="center" wrapText="1"/>
    </xf>
    <xf numFmtId="1" fontId="3" fillId="7" borderId="4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1" fontId="2" fillId="9" borderId="4" xfId="0" applyNumberFormat="1" applyFont="1" applyFill="1" applyBorder="1" applyAlignment="1">
      <alignment horizontal="center" vertical="center" wrapText="1"/>
    </xf>
    <xf numFmtId="1" fontId="2" fillId="10" borderId="4" xfId="0" applyNumberFormat="1" applyFont="1" applyFill="1" applyBorder="1" applyAlignment="1">
      <alignment horizontal="center" vertical="center" wrapText="1"/>
    </xf>
    <xf numFmtId="1" fontId="2" fillId="7" borderId="6" xfId="0" applyNumberFormat="1" applyFont="1" applyFill="1" applyBorder="1" applyAlignment="1">
      <alignment horizontal="center" wrapText="1"/>
    </xf>
    <xf numFmtId="1" fontId="5" fillId="4" borderId="4" xfId="0" applyNumberFormat="1" applyFont="1" applyFill="1" applyBorder="1" applyAlignment="1">
      <alignment horizontal="center" vertical="center" wrapText="1"/>
    </xf>
    <xf numFmtId="1" fontId="5" fillId="9" borderId="4" xfId="0" applyNumberFormat="1" applyFont="1" applyFill="1" applyBorder="1" applyAlignment="1">
      <alignment horizontal="center" vertical="center" wrapText="1"/>
    </xf>
    <xf numFmtId="1" fontId="5" fillId="10" borderId="4" xfId="0" applyNumberFormat="1" applyFont="1" applyFill="1" applyBorder="1" applyAlignment="1">
      <alignment horizontal="center" vertical="center" wrapText="1"/>
    </xf>
    <xf numFmtId="1" fontId="5" fillId="7" borderId="4" xfId="0" applyNumberFormat="1" applyFont="1" applyFill="1" applyBorder="1" applyAlignment="1">
      <alignment horizontal="center" vertical="center" wrapText="1"/>
    </xf>
    <xf numFmtId="1" fontId="2" fillId="11" borderId="6" xfId="0" applyNumberFormat="1" applyFont="1" applyFill="1" applyBorder="1" applyAlignment="1">
      <alignment horizontal="center" vertical="center" wrapText="1"/>
    </xf>
    <xf numFmtId="1" fontId="2" fillId="11" borderId="0" xfId="0" applyNumberFormat="1" applyFont="1" applyFill="1" applyBorder="1" applyAlignment="1">
      <alignment horizontal="center" vertical="center" wrapText="1"/>
    </xf>
    <xf numFmtId="0" fontId="4" fillId="0" borderId="0" xfId="0" applyFont="1"/>
    <xf numFmtId="1" fontId="6" fillId="12" borderId="4" xfId="0" applyNumberFormat="1" applyFont="1" applyFill="1" applyBorder="1" applyAlignment="1">
      <alignment horizontal="center" vertical="center" wrapText="1"/>
    </xf>
    <xf numFmtId="1" fontId="5" fillId="7" borderId="0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1" fontId="2" fillId="7" borderId="0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" fontId="7" fillId="12" borderId="4" xfId="0" applyNumberFormat="1" applyFont="1" applyFill="1" applyBorder="1" applyAlignment="1">
      <alignment horizontal="center" vertical="center" wrapText="1"/>
    </xf>
    <xf numFmtId="1" fontId="2" fillId="7" borderId="6" xfId="0" applyNumberFormat="1" applyFont="1" applyFill="1" applyBorder="1" applyAlignment="1">
      <alignment horizontal="center" vertical="center" wrapText="1"/>
    </xf>
    <xf numFmtId="1" fontId="6" fillId="9" borderId="4" xfId="0" applyNumberFormat="1" applyFont="1" applyFill="1" applyBorder="1" applyAlignment="1">
      <alignment horizontal="center" vertical="center" wrapText="1"/>
    </xf>
    <xf numFmtId="1" fontId="7" fillId="9" borderId="4" xfId="0" applyNumberFormat="1" applyFont="1" applyFill="1" applyBorder="1" applyAlignment="1">
      <alignment horizontal="center" vertical="center" wrapText="1"/>
    </xf>
    <xf numFmtId="1" fontId="3" fillId="8" borderId="4" xfId="0" applyNumberFormat="1" applyFont="1" applyFill="1" applyBorder="1" applyAlignment="1">
      <alignment horizontal="center" vertical="center" wrapText="1"/>
    </xf>
    <xf numFmtId="1" fontId="2" fillId="7" borderId="8" xfId="0" applyNumberFormat="1" applyFont="1" applyFill="1" applyBorder="1" applyAlignment="1">
      <alignment horizontal="center" vertical="center" wrapText="1"/>
    </xf>
    <xf numFmtId="1" fontId="2" fillId="8" borderId="4" xfId="0" applyNumberFormat="1" applyFont="1" applyFill="1" applyBorder="1" applyAlignment="1">
      <alignment horizontal="center" vertical="center" wrapText="1"/>
    </xf>
    <xf numFmtId="1" fontId="6" fillId="10" borderId="4" xfId="0" applyNumberFormat="1" applyFont="1" applyFill="1" applyBorder="1" applyAlignment="1">
      <alignment horizontal="center" vertical="center" wrapText="1"/>
    </xf>
    <xf numFmtId="1" fontId="7" fillId="9" borderId="0" xfId="0" applyNumberFormat="1" applyFont="1" applyFill="1" applyBorder="1" applyAlignment="1">
      <alignment horizontal="center" vertical="center" wrapText="1"/>
    </xf>
    <xf numFmtId="1" fontId="2" fillId="7" borderId="6" xfId="0" applyNumberFormat="1" applyFont="1" applyFill="1" applyBorder="1" applyAlignment="1">
      <alignment horizontal="center" vertical="center" wrapText="1"/>
    </xf>
    <xf numFmtId="1" fontId="3" fillId="8" borderId="0" xfId="0" applyNumberFormat="1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left" vertical="center" wrapText="1"/>
    </xf>
    <xf numFmtId="0" fontId="8" fillId="13" borderId="10" xfId="0" applyFont="1" applyFill="1" applyBorder="1" applyAlignment="1">
      <alignment horizontal="left" vertical="center" wrapText="1"/>
    </xf>
    <xf numFmtId="0" fontId="8" fillId="13" borderId="11" xfId="0" applyFont="1" applyFill="1" applyBorder="1" applyAlignment="1">
      <alignment horizontal="left" vertical="center" wrapText="1"/>
    </xf>
    <xf numFmtId="0" fontId="8" fillId="13" borderId="0" xfId="0" applyFont="1" applyFill="1" applyBorder="1" applyAlignment="1">
      <alignment horizontal="left" vertical="center" wrapText="1"/>
    </xf>
    <xf numFmtId="0" fontId="8" fillId="13" borderId="12" xfId="0" applyFont="1" applyFill="1" applyBorder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13" borderId="7" xfId="0" applyFont="1" applyFill="1" applyBorder="1" applyAlignment="1">
      <alignment horizontal="left" vertical="center" wrapText="1"/>
    </xf>
    <xf numFmtId="0" fontId="8" fillId="13" borderId="13" xfId="0" applyFont="1" applyFill="1" applyBorder="1" applyAlignment="1">
      <alignment horizontal="left" vertical="center" wrapText="1"/>
    </xf>
    <xf numFmtId="0" fontId="8" fillId="13" borderId="14" xfId="0" applyFont="1" applyFill="1" applyBorder="1" applyAlignment="1">
      <alignment horizontal="left" vertical="center" wrapText="1"/>
    </xf>
    <xf numFmtId="0" fontId="8" fillId="13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60"/>
  <sheetViews>
    <sheetView tabSelected="1" workbookViewId="0">
      <selection sqref="A1:XFD1048576"/>
    </sheetView>
  </sheetViews>
  <sheetFormatPr defaultColWidth="8.85546875" defaultRowHeight="15" x14ac:dyDescent="0.25"/>
  <cols>
    <col min="1" max="1" width="8.85546875" style="1"/>
    <col min="2" max="2" width="16.7109375" style="1" bestFit="1" customWidth="1"/>
    <col min="3" max="3" width="21.5703125" style="1" customWidth="1"/>
    <col min="4" max="4" width="9.7109375" style="1" bestFit="1" customWidth="1"/>
    <col min="5" max="5" width="16" style="1" customWidth="1"/>
    <col min="6" max="6" width="17.140625" style="1" customWidth="1"/>
    <col min="7" max="7" width="12.85546875" style="1" customWidth="1"/>
    <col min="8" max="8" width="14.5703125" style="1" customWidth="1"/>
    <col min="9" max="10" width="10" style="1" customWidth="1"/>
    <col min="11" max="11" width="10.42578125" style="1" bestFit="1" customWidth="1"/>
    <col min="12" max="12" width="20.5703125" style="1" customWidth="1"/>
    <col min="13" max="13" width="5.42578125" style="1" bestFit="1" customWidth="1"/>
    <col min="14" max="14" width="15.140625" style="1" customWidth="1"/>
    <col min="15" max="15" width="15.28515625" style="1" customWidth="1"/>
    <col min="16" max="16" width="8.85546875" style="1"/>
    <col min="17" max="17" width="10.42578125" style="1" bestFit="1" customWidth="1"/>
    <col min="18" max="19" width="8.140625" style="1" customWidth="1"/>
    <col min="20" max="16384" width="8.85546875" style="1"/>
  </cols>
  <sheetData>
    <row r="4" spans="1:20" ht="15.75" customHeight="1" x14ac:dyDescent="0.25">
      <c r="B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</row>
    <row r="5" spans="1:20" ht="15.75" x14ac:dyDescent="0.25">
      <c r="B5" s="5" t="s">
        <v>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1:20" ht="15.75" customHeight="1" x14ac:dyDescent="0.25">
      <c r="B6" s="8" t="s">
        <v>2</v>
      </c>
      <c r="C6" s="9" t="s">
        <v>3</v>
      </c>
      <c r="D6" s="9"/>
      <c r="E6" s="9"/>
      <c r="F6" s="9"/>
      <c r="G6" s="9"/>
      <c r="H6" s="9"/>
      <c r="I6" s="9"/>
      <c r="J6" s="9"/>
      <c r="K6" s="9"/>
      <c r="L6" s="10" t="s">
        <v>4</v>
      </c>
      <c r="M6" s="11"/>
      <c r="N6" s="11"/>
      <c r="O6" s="11"/>
      <c r="P6" s="11"/>
      <c r="Q6" s="11"/>
      <c r="R6" s="11"/>
      <c r="S6" s="11"/>
      <c r="T6" s="12"/>
    </row>
    <row r="7" spans="1:20" ht="15.75" x14ac:dyDescent="0.25">
      <c r="B7" s="8"/>
      <c r="C7" s="13" t="s">
        <v>5</v>
      </c>
      <c r="D7" s="13" t="s">
        <v>6</v>
      </c>
      <c r="E7" s="13" t="s">
        <v>7</v>
      </c>
      <c r="F7" s="13"/>
      <c r="G7" s="13" t="s">
        <v>8</v>
      </c>
      <c r="H7" s="13" t="s">
        <v>9</v>
      </c>
      <c r="I7" s="13" t="s">
        <v>10</v>
      </c>
      <c r="J7" s="14" t="s">
        <v>11</v>
      </c>
      <c r="K7" s="9" t="s">
        <v>12</v>
      </c>
      <c r="L7" s="15" t="s">
        <v>5</v>
      </c>
      <c r="M7" s="15" t="s">
        <v>6</v>
      </c>
      <c r="N7" s="15" t="s">
        <v>7</v>
      </c>
      <c r="O7" s="15"/>
      <c r="P7" s="15" t="s">
        <v>8</v>
      </c>
      <c r="Q7" s="15" t="s">
        <v>9</v>
      </c>
      <c r="R7" s="15" t="s">
        <v>10</v>
      </c>
      <c r="S7" s="16" t="s">
        <v>11</v>
      </c>
      <c r="T7" s="17" t="s">
        <v>12</v>
      </c>
    </row>
    <row r="8" spans="1:20" ht="15.75" x14ac:dyDescent="0.25">
      <c r="B8" s="8"/>
      <c r="C8" s="13"/>
      <c r="D8" s="13"/>
      <c r="E8" s="18" t="s">
        <v>13</v>
      </c>
      <c r="F8" s="18" t="s">
        <v>14</v>
      </c>
      <c r="G8" s="13"/>
      <c r="H8" s="13"/>
      <c r="I8" s="13"/>
      <c r="J8" s="19"/>
      <c r="K8" s="9"/>
      <c r="L8" s="15"/>
      <c r="M8" s="15"/>
      <c r="N8" s="20" t="s">
        <v>13</v>
      </c>
      <c r="O8" s="20" t="s">
        <v>14</v>
      </c>
      <c r="P8" s="15"/>
      <c r="Q8" s="15"/>
      <c r="R8" s="15"/>
      <c r="S8" s="21"/>
      <c r="T8" s="17"/>
    </row>
    <row r="9" spans="1:20" ht="15.75" x14ac:dyDescent="0.25">
      <c r="A9" s="22"/>
      <c r="B9" s="23" t="s">
        <v>15</v>
      </c>
      <c r="C9" s="24" t="s">
        <v>16</v>
      </c>
      <c r="D9" s="25">
        <v>5</v>
      </c>
      <c r="E9" s="26">
        <v>45789</v>
      </c>
      <c r="F9" s="26">
        <v>45942</v>
      </c>
      <c r="G9" s="27">
        <v>520</v>
      </c>
      <c r="H9" s="27">
        <v>565</v>
      </c>
      <c r="I9" s="27">
        <v>610</v>
      </c>
      <c r="J9" s="27"/>
      <c r="K9" s="27" t="s">
        <v>17</v>
      </c>
      <c r="L9" s="25" t="s">
        <v>18</v>
      </c>
      <c r="M9" s="25">
        <v>5</v>
      </c>
      <c r="N9" s="26">
        <v>45942</v>
      </c>
      <c r="O9" s="26" t="s">
        <v>19</v>
      </c>
      <c r="P9" s="27">
        <v>500</v>
      </c>
      <c r="Q9" s="27">
        <v>545</v>
      </c>
      <c r="R9" s="27">
        <v>590</v>
      </c>
      <c r="S9" s="27"/>
      <c r="T9" s="27" t="s">
        <v>17</v>
      </c>
    </row>
    <row r="10" spans="1:20" ht="15.6" customHeight="1" x14ac:dyDescent="0.25">
      <c r="A10" s="28"/>
      <c r="B10" s="23" t="s">
        <v>20</v>
      </c>
      <c r="C10" s="24" t="s">
        <v>21</v>
      </c>
      <c r="D10" s="25">
        <v>5</v>
      </c>
      <c r="E10" s="26">
        <v>45789</v>
      </c>
      <c r="F10" s="26">
        <v>45942</v>
      </c>
      <c r="G10" s="27">
        <v>950</v>
      </c>
      <c r="H10" s="27">
        <v>1100</v>
      </c>
      <c r="I10" s="27">
        <v>1250</v>
      </c>
      <c r="J10" s="27"/>
      <c r="K10" s="27" t="s">
        <v>17</v>
      </c>
      <c r="L10" s="25" t="s">
        <v>22</v>
      </c>
      <c r="M10" s="25">
        <v>5</v>
      </c>
      <c r="N10" s="26">
        <v>45942</v>
      </c>
      <c r="O10" s="26" t="s">
        <v>19</v>
      </c>
      <c r="P10" s="27">
        <v>1100</v>
      </c>
      <c r="Q10" s="27">
        <v>1350</v>
      </c>
      <c r="R10" s="27">
        <v>1500</v>
      </c>
      <c r="S10" s="27"/>
      <c r="T10" s="27" t="s">
        <v>17</v>
      </c>
    </row>
    <row r="11" spans="1:20" ht="15.75" x14ac:dyDescent="0.25">
      <c r="A11" s="28"/>
      <c r="B11" s="23" t="s">
        <v>23</v>
      </c>
      <c r="C11" s="24" t="s">
        <v>21</v>
      </c>
      <c r="D11" s="25">
        <v>5</v>
      </c>
      <c r="E11" s="26">
        <v>45789</v>
      </c>
      <c r="F11" s="26">
        <v>45942</v>
      </c>
      <c r="G11" s="27">
        <v>950</v>
      </c>
      <c r="H11" s="27">
        <v>1100</v>
      </c>
      <c r="I11" s="27">
        <v>1250</v>
      </c>
      <c r="J11" s="27"/>
      <c r="K11" s="27" t="s">
        <v>17</v>
      </c>
      <c r="L11" s="25" t="s">
        <v>24</v>
      </c>
      <c r="M11" s="25">
        <v>5</v>
      </c>
      <c r="N11" s="26">
        <v>45942</v>
      </c>
      <c r="O11" s="26" t="s">
        <v>19</v>
      </c>
      <c r="P11" s="27">
        <v>1750</v>
      </c>
      <c r="Q11" s="27">
        <v>1970</v>
      </c>
      <c r="R11" s="27">
        <v>2190</v>
      </c>
      <c r="S11" s="27"/>
      <c r="T11" s="27" t="s">
        <v>17</v>
      </c>
    </row>
    <row r="12" spans="1:20" ht="15.75" x14ac:dyDescent="0.25">
      <c r="A12" s="28"/>
      <c r="B12" s="29"/>
      <c r="C12" s="30" t="s">
        <v>25</v>
      </c>
      <c r="D12" s="25"/>
      <c r="E12" s="25"/>
      <c r="F12" s="25"/>
      <c r="G12" s="27"/>
      <c r="H12" s="27"/>
      <c r="I12" s="27"/>
      <c r="J12" s="27"/>
      <c r="K12" s="27"/>
      <c r="L12" s="25"/>
      <c r="M12" s="25"/>
      <c r="N12" s="25"/>
      <c r="O12" s="25"/>
      <c r="P12" s="27"/>
      <c r="Q12" s="27"/>
      <c r="R12" s="27"/>
      <c r="S12" s="27"/>
      <c r="T12" s="31"/>
    </row>
    <row r="13" spans="1:20" ht="15.75" x14ac:dyDescent="0.25">
      <c r="A13" s="28"/>
      <c r="B13" s="32"/>
      <c r="C13" s="33"/>
      <c r="D13" s="25"/>
      <c r="E13" s="25"/>
      <c r="F13" s="25"/>
      <c r="G13" s="27"/>
      <c r="H13" s="27"/>
      <c r="I13" s="27"/>
      <c r="J13" s="27"/>
      <c r="K13" s="27"/>
      <c r="L13" s="25"/>
      <c r="M13" s="25"/>
      <c r="N13" s="25"/>
      <c r="O13" s="25"/>
      <c r="P13" s="27"/>
      <c r="Q13" s="27"/>
      <c r="R13" s="27"/>
      <c r="S13" s="27"/>
      <c r="T13" s="31"/>
    </row>
    <row r="14" spans="1:20" ht="15.75" x14ac:dyDescent="0.25">
      <c r="A14" s="28"/>
      <c r="B14" s="34" t="s">
        <v>26</v>
      </c>
      <c r="C14" s="35" t="s">
        <v>27</v>
      </c>
      <c r="D14" s="36"/>
      <c r="E14" s="37" t="s">
        <v>28</v>
      </c>
      <c r="F14" s="38"/>
      <c r="G14" s="39" t="s">
        <v>23</v>
      </c>
      <c r="H14" s="40"/>
      <c r="I14" s="27"/>
      <c r="J14" s="27"/>
      <c r="K14" s="27"/>
      <c r="L14" s="25"/>
      <c r="M14" s="25"/>
      <c r="N14" s="25"/>
      <c r="O14" s="25"/>
      <c r="P14" s="27"/>
      <c r="Q14" s="27"/>
      <c r="R14" s="27"/>
      <c r="S14" s="27"/>
      <c r="T14" s="31"/>
    </row>
    <row r="15" spans="1:20" ht="15.75" x14ac:dyDescent="0.25">
      <c r="A15" s="28"/>
      <c r="B15" s="41" t="s">
        <v>29</v>
      </c>
      <c r="C15" s="42" t="s">
        <v>30</v>
      </c>
      <c r="D15" s="43"/>
      <c r="E15" s="42" t="s">
        <v>31</v>
      </c>
      <c r="F15" s="43"/>
      <c r="G15" s="42" t="s">
        <v>32</v>
      </c>
      <c r="H15" s="43"/>
      <c r="I15" s="27"/>
      <c r="J15" s="27"/>
      <c r="K15" s="27"/>
      <c r="L15" s="25"/>
      <c r="M15" s="25"/>
      <c r="N15" s="25"/>
      <c r="O15" s="25"/>
      <c r="P15" s="27"/>
      <c r="Q15" s="27"/>
      <c r="R15" s="27"/>
      <c r="S15" s="27"/>
      <c r="T15" s="31"/>
    </row>
    <row r="16" spans="1:20" ht="15.6" customHeight="1" x14ac:dyDescent="0.25">
      <c r="B16" s="44"/>
      <c r="C16" s="45">
        <v>10</v>
      </c>
      <c r="D16" s="45"/>
      <c r="E16" s="46">
        <v>10</v>
      </c>
      <c r="F16" s="46"/>
      <c r="G16" s="47">
        <v>10</v>
      </c>
      <c r="H16" s="47"/>
      <c r="I16" s="48"/>
      <c r="J16" s="48"/>
      <c r="K16" s="48"/>
      <c r="L16" s="49"/>
      <c r="M16" s="49"/>
      <c r="N16" s="49"/>
      <c r="O16" s="49"/>
      <c r="P16" s="48"/>
      <c r="Q16" s="48"/>
      <c r="R16" s="48"/>
      <c r="S16" s="48"/>
      <c r="T16" s="31"/>
    </row>
    <row r="17" spans="2:20" ht="15.75" x14ac:dyDescent="0.25">
      <c r="B17" s="44"/>
      <c r="C17" s="50">
        <v>500</v>
      </c>
      <c r="D17" s="50"/>
      <c r="E17" s="51">
        <v>500</v>
      </c>
      <c r="F17" s="51"/>
      <c r="G17" s="52">
        <v>500</v>
      </c>
      <c r="H17" s="52"/>
      <c r="I17" s="48"/>
      <c r="J17" s="48"/>
      <c r="K17" s="48"/>
      <c r="L17" s="49"/>
      <c r="M17" s="49"/>
      <c r="N17" s="49"/>
      <c r="O17" s="49"/>
      <c r="P17" s="48"/>
      <c r="Q17" s="48"/>
      <c r="R17" s="48"/>
      <c r="S17" s="48"/>
      <c r="T17" s="31"/>
    </row>
    <row r="18" spans="2:20" ht="15.75" x14ac:dyDescent="0.25">
      <c r="B18" s="44"/>
      <c r="C18" s="50"/>
      <c r="D18" s="50"/>
      <c r="E18" s="51"/>
      <c r="F18" s="51"/>
      <c r="G18" s="52"/>
      <c r="H18" s="52"/>
      <c r="I18" s="48"/>
      <c r="J18" s="48"/>
      <c r="K18" s="48"/>
      <c r="L18" s="49"/>
      <c r="M18" s="49"/>
      <c r="N18" s="49"/>
      <c r="O18" s="49"/>
      <c r="P18" s="48"/>
      <c r="Q18" s="48"/>
      <c r="R18" s="48"/>
      <c r="S18" s="48"/>
      <c r="T18" s="31"/>
    </row>
    <row r="19" spans="2:20" ht="15.75" x14ac:dyDescent="0.25">
      <c r="B19" s="44"/>
      <c r="C19" s="50"/>
      <c r="D19" s="50"/>
      <c r="E19" s="51"/>
      <c r="F19" s="51"/>
      <c r="G19" s="52"/>
      <c r="H19" s="52"/>
      <c r="I19" s="48"/>
      <c r="J19" s="48"/>
      <c r="K19" s="48"/>
      <c r="L19" s="49"/>
      <c r="M19" s="49"/>
      <c r="N19" s="49"/>
      <c r="O19" s="49"/>
      <c r="P19" s="48"/>
      <c r="Q19" s="48"/>
      <c r="R19" s="48"/>
      <c r="S19" s="48"/>
      <c r="T19" s="31"/>
    </row>
    <row r="20" spans="2:20" ht="15.75" x14ac:dyDescent="0.25">
      <c r="B20" s="53" t="s">
        <v>33</v>
      </c>
      <c r="C20" s="50"/>
      <c r="D20" s="50"/>
      <c r="E20" s="51"/>
      <c r="F20" s="51"/>
      <c r="G20" s="52"/>
      <c r="H20" s="52"/>
      <c r="I20" s="48"/>
      <c r="J20" s="48"/>
      <c r="K20" s="48"/>
      <c r="L20" s="49"/>
      <c r="M20" s="49"/>
      <c r="N20" s="49"/>
      <c r="O20" s="49"/>
      <c r="P20" s="48"/>
      <c r="Q20" s="48"/>
      <c r="R20" s="48"/>
      <c r="S20" s="48"/>
      <c r="T20" s="31"/>
    </row>
    <row r="21" spans="2:20" ht="15.75" x14ac:dyDescent="0.25">
      <c r="B21" s="49" t="s">
        <v>34</v>
      </c>
      <c r="C21" s="54"/>
      <c r="D21" s="54"/>
      <c r="E21" s="55"/>
      <c r="F21" s="55"/>
      <c r="G21" s="56"/>
      <c r="H21" s="56"/>
      <c r="I21" s="48"/>
      <c r="J21" s="48"/>
      <c r="K21" s="48"/>
      <c r="L21" s="57"/>
      <c r="M21" s="57"/>
      <c r="N21" s="57"/>
      <c r="O21" s="57"/>
      <c r="P21" s="48"/>
      <c r="Q21" s="48"/>
      <c r="R21" s="48"/>
      <c r="S21" s="48"/>
      <c r="T21" s="31"/>
    </row>
    <row r="22" spans="2:20" ht="15.75" x14ac:dyDescent="0.25">
      <c r="B22" s="49" t="s">
        <v>35</v>
      </c>
      <c r="C22" s="54"/>
      <c r="D22" s="54"/>
      <c r="E22" s="55"/>
      <c r="F22" s="55"/>
      <c r="G22" s="56"/>
      <c r="H22" s="56"/>
      <c r="I22" s="48"/>
      <c r="J22" s="48"/>
      <c r="K22" s="48"/>
      <c r="L22" s="57"/>
      <c r="M22" s="57"/>
      <c r="N22" s="57"/>
      <c r="O22" s="57"/>
      <c r="P22" s="48"/>
      <c r="Q22" s="48"/>
      <c r="R22" s="48"/>
      <c r="S22" s="48"/>
      <c r="T22" s="31"/>
    </row>
    <row r="23" spans="2:20" ht="31.5" x14ac:dyDescent="0.25">
      <c r="B23" s="49" t="s">
        <v>36</v>
      </c>
      <c r="C23" s="54"/>
      <c r="D23" s="54"/>
      <c r="E23" s="55"/>
      <c r="F23" s="55"/>
      <c r="G23" s="56"/>
      <c r="H23" s="56"/>
      <c r="I23" s="48"/>
      <c r="J23" s="48"/>
      <c r="K23" s="48"/>
      <c r="L23" s="57"/>
      <c r="M23" s="57"/>
      <c r="N23" s="57"/>
      <c r="O23" s="57"/>
      <c r="P23" s="48"/>
      <c r="Q23" s="48"/>
      <c r="R23" s="48"/>
      <c r="S23" s="48"/>
      <c r="T23" s="31"/>
    </row>
    <row r="24" spans="2:20" ht="15.75" x14ac:dyDescent="0.25">
      <c r="B24" s="49" t="s">
        <v>37</v>
      </c>
      <c r="C24" s="54"/>
      <c r="D24" s="54"/>
      <c r="E24" s="55"/>
      <c r="F24" s="55"/>
      <c r="G24" s="56"/>
      <c r="H24" s="56"/>
      <c r="I24" s="48"/>
      <c r="J24" s="48"/>
      <c r="K24" s="48"/>
      <c r="L24" s="57"/>
      <c r="M24" s="57"/>
      <c r="N24" s="57"/>
      <c r="O24" s="57"/>
      <c r="P24" s="48"/>
      <c r="Q24" s="48"/>
      <c r="R24" s="48"/>
      <c r="S24" s="48"/>
      <c r="T24" s="31"/>
    </row>
    <row r="25" spans="2:20" ht="15.75" x14ac:dyDescent="0.25">
      <c r="B25" s="49" t="s">
        <v>38</v>
      </c>
      <c r="C25" s="54"/>
      <c r="D25" s="54"/>
      <c r="E25" s="55"/>
      <c r="F25" s="55"/>
      <c r="G25" s="56"/>
      <c r="H25" s="56"/>
      <c r="I25" s="48"/>
      <c r="J25" s="48"/>
      <c r="K25" s="48"/>
      <c r="L25" s="57"/>
      <c r="M25" s="57"/>
      <c r="N25" s="57"/>
      <c r="O25" s="57"/>
      <c r="P25" s="48"/>
      <c r="Q25" s="48"/>
      <c r="R25" s="48"/>
      <c r="S25" s="48"/>
      <c r="T25" s="31"/>
    </row>
    <row r="26" spans="2:20" ht="15.75" x14ac:dyDescent="0.25">
      <c r="B26" s="58" t="s">
        <v>39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9"/>
      <c r="T26" s="60"/>
    </row>
    <row r="27" spans="2:20" ht="18.75" x14ac:dyDescent="0.25">
      <c r="B27" s="49" t="s">
        <v>40</v>
      </c>
      <c r="C27" s="49"/>
      <c r="D27" s="49"/>
      <c r="E27" s="49"/>
      <c r="F27" s="49"/>
      <c r="G27" s="61" t="s">
        <v>27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57"/>
      <c r="S27" s="62"/>
      <c r="T27" s="60"/>
    </row>
    <row r="28" spans="2:20" ht="15.75" x14ac:dyDescent="0.25">
      <c r="B28" s="57"/>
      <c r="C28" s="57"/>
      <c r="D28" s="57"/>
      <c r="E28" s="57"/>
      <c r="F28" s="57"/>
      <c r="G28" s="63" t="s">
        <v>41</v>
      </c>
      <c r="H28" s="63"/>
      <c r="I28" s="63"/>
      <c r="J28" s="49"/>
      <c r="K28" s="49"/>
      <c r="L28" s="49"/>
      <c r="M28" s="49"/>
      <c r="N28" s="49"/>
      <c r="O28" s="57"/>
      <c r="P28" s="63" t="s">
        <v>42</v>
      </c>
      <c r="Q28" s="63"/>
      <c r="R28" s="63"/>
      <c r="S28" s="64"/>
      <c r="T28" s="60"/>
    </row>
    <row r="29" spans="2:20" ht="31.5" x14ac:dyDescent="0.25">
      <c r="B29" s="65"/>
      <c r="C29" s="65"/>
      <c r="D29" s="65"/>
      <c r="E29" s="65"/>
      <c r="F29" s="65" t="s">
        <v>40</v>
      </c>
      <c r="G29" s="66" t="s">
        <v>8</v>
      </c>
      <c r="H29" s="66" t="s">
        <v>9</v>
      </c>
      <c r="I29" s="66" t="s">
        <v>10</v>
      </c>
      <c r="J29" s="66" t="s">
        <v>11</v>
      </c>
      <c r="K29" s="66"/>
      <c r="L29" s="66"/>
      <c r="M29" s="66"/>
      <c r="N29" s="66"/>
      <c r="O29" s="66" t="s">
        <v>43</v>
      </c>
      <c r="P29" s="66" t="s">
        <v>8</v>
      </c>
      <c r="Q29" s="66" t="s">
        <v>9</v>
      </c>
      <c r="R29" s="66" t="s">
        <v>10</v>
      </c>
      <c r="S29" s="66" t="s">
        <v>11</v>
      </c>
      <c r="T29" s="66"/>
    </row>
    <row r="30" spans="2:20" ht="15.75" x14ac:dyDescent="0.25">
      <c r="B30" s="49"/>
      <c r="C30" s="41"/>
      <c r="D30" s="49"/>
      <c r="E30" s="41"/>
      <c r="F30" s="49" t="s">
        <v>44</v>
      </c>
      <c r="G30" s="47">
        <f>((G9*D9)+(P9*M9))/2</f>
        <v>2550</v>
      </c>
      <c r="H30" s="47">
        <f>((D9*H9)+(M9*Q9))/3</f>
        <v>1850</v>
      </c>
      <c r="I30" s="47">
        <f>((D9*I9)+(M9*R9))/4</f>
        <v>1500</v>
      </c>
      <c r="J30" s="47">
        <f>((D9*J9)+(M9*S9))/5</f>
        <v>0</v>
      </c>
      <c r="K30" s="47"/>
      <c r="L30" s="47"/>
      <c r="M30" s="47"/>
      <c r="N30" s="47"/>
      <c r="O30" s="47">
        <f>C17+C18+C19+C20+C21+C22+C23+C24+C25</f>
        <v>500</v>
      </c>
      <c r="P30" s="47">
        <f>G30+O30</f>
        <v>3050</v>
      </c>
      <c r="Q30" s="47">
        <f>H30+O30</f>
        <v>2350</v>
      </c>
      <c r="R30" s="47">
        <f>I30+O30</f>
        <v>2000</v>
      </c>
      <c r="S30" s="47">
        <f>J30+O30</f>
        <v>500</v>
      </c>
      <c r="T30" s="47"/>
    </row>
    <row r="31" spans="2:20" ht="15.75" x14ac:dyDescent="0.25">
      <c r="B31" s="49"/>
      <c r="C31" s="67"/>
      <c r="D31" s="49"/>
      <c r="E31" s="67"/>
      <c r="F31" s="49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</row>
    <row r="32" spans="2:20" ht="15.75" x14ac:dyDescent="0.25">
      <c r="B32" s="49"/>
      <c r="C32" s="41"/>
      <c r="D32" s="49"/>
      <c r="E32" s="41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64"/>
      <c r="T32" s="60"/>
    </row>
    <row r="33" spans="2:20" ht="15.75" x14ac:dyDescent="0.25">
      <c r="B33" s="49"/>
      <c r="C33" s="67"/>
      <c r="D33" s="49"/>
      <c r="E33" s="67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64"/>
      <c r="T33" s="60"/>
    </row>
    <row r="34" spans="2:20" ht="15.75" x14ac:dyDescent="0.25">
      <c r="B34" s="49"/>
      <c r="C34" s="41"/>
      <c r="D34" s="49"/>
      <c r="E34" s="41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64"/>
      <c r="T34" s="60"/>
    </row>
    <row r="35" spans="2:20" ht="15.75" x14ac:dyDescent="0.25">
      <c r="B35" s="49"/>
      <c r="C35" s="67"/>
      <c r="D35" s="49"/>
      <c r="E35" s="67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64"/>
      <c r="T35" s="60"/>
    </row>
    <row r="36" spans="2:20" ht="18.75" x14ac:dyDescent="0.25">
      <c r="B36" s="49"/>
      <c r="C36" s="49"/>
      <c r="D36" s="49"/>
      <c r="E36" s="49"/>
      <c r="F36" s="49"/>
      <c r="G36" s="68" t="s">
        <v>45</v>
      </c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49"/>
      <c r="S36" s="64"/>
      <c r="T36" s="60"/>
    </row>
    <row r="37" spans="2:20" ht="15.75" x14ac:dyDescent="0.25">
      <c r="B37" s="49"/>
      <c r="C37" s="49"/>
      <c r="D37" s="49"/>
      <c r="E37" s="49"/>
      <c r="F37" s="49"/>
      <c r="G37" s="63" t="s">
        <v>45</v>
      </c>
      <c r="H37" s="63"/>
      <c r="I37" s="63"/>
      <c r="J37" s="49"/>
      <c r="K37" s="49"/>
      <c r="L37" s="49"/>
      <c r="M37" s="49"/>
      <c r="N37" s="49"/>
      <c r="O37" s="57"/>
      <c r="P37" s="63" t="s">
        <v>42</v>
      </c>
      <c r="Q37" s="63"/>
      <c r="R37" s="63"/>
      <c r="S37" s="64"/>
      <c r="T37" s="60"/>
    </row>
    <row r="38" spans="2:20" ht="31.5" x14ac:dyDescent="0.25">
      <c r="B38" s="49"/>
      <c r="C38" s="65"/>
      <c r="D38" s="65"/>
      <c r="E38" s="65"/>
      <c r="F38" s="65" t="s">
        <v>40</v>
      </c>
      <c r="G38" s="69" t="s">
        <v>8</v>
      </c>
      <c r="H38" s="69" t="s">
        <v>9</v>
      </c>
      <c r="I38" s="66" t="s">
        <v>10</v>
      </c>
      <c r="J38" s="66" t="s">
        <v>11</v>
      </c>
      <c r="K38" s="69"/>
      <c r="L38" s="69"/>
      <c r="M38" s="69"/>
      <c r="N38" s="69"/>
      <c r="O38" s="69" t="s">
        <v>43</v>
      </c>
      <c r="P38" s="69" t="s">
        <v>8</v>
      </c>
      <c r="Q38" s="69" t="s">
        <v>9</v>
      </c>
      <c r="R38" s="69" t="s">
        <v>10</v>
      </c>
      <c r="S38" s="66" t="s">
        <v>11</v>
      </c>
      <c r="T38" s="60"/>
    </row>
    <row r="39" spans="2:20" ht="15.75" x14ac:dyDescent="0.25">
      <c r="B39" s="49"/>
      <c r="C39" s="41"/>
      <c r="D39" s="49"/>
      <c r="E39" s="41"/>
      <c r="F39" s="49" t="s">
        <v>46</v>
      </c>
      <c r="G39" s="47">
        <f>((D10*G10)+(M10*P10))/2</f>
        <v>5125</v>
      </c>
      <c r="H39" s="47">
        <f>((D10*H10)+(M10*Q10))/3</f>
        <v>4083.3333333333335</v>
      </c>
      <c r="I39" s="47">
        <f>((D10*I10)+(M10*R10))/4</f>
        <v>3437.5</v>
      </c>
      <c r="J39" s="47">
        <f>((D9*J9)+(P9*S9))/5</f>
        <v>0</v>
      </c>
      <c r="K39" s="70"/>
      <c r="L39" s="70"/>
      <c r="M39" s="70"/>
      <c r="N39" s="70"/>
      <c r="O39" s="47">
        <f>SUM(E17:E25)</f>
        <v>500</v>
      </c>
      <c r="P39" s="47">
        <f>G39+O39</f>
        <v>5625</v>
      </c>
      <c r="Q39" s="47">
        <f>H39+O39</f>
        <v>4583.3333333333339</v>
      </c>
      <c r="R39" s="47">
        <f>I39+O39</f>
        <v>3937.5</v>
      </c>
      <c r="S39" s="47">
        <f>J39+O39</f>
        <v>500</v>
      </c>
    </row>
    <row r="40" spans="2:20" ht="15.75" x14ac:dyDescent="0.25">
      <c r="B40" s="49"/>
      <c r="C40" s="67"/>
      <c r="D40" s="49"/>
      <c r="E40" s="67"/>
      <c r="F40" s="49" t="s">
        <v>47</v>
      </c>
      <c r="G40" s="47">
        <f>((D21*G21)+(M21*P21))/2</f>
        <v>0</v>
      </c>
      <c r="H40" s="47">
        <f>((D21*H21)+(M21*Q21))/3</f>
        <v>0</v>
      </c>
      <c r="I40" s="47">
        <f>((D21*I21)+(M21*R21))/4</f>
        <v>0</v>
      </c>
      <c r="J40" s="47">
        <f>((D21*J21)+(M21*S21))/5</f>
        <v>0</v>
      </c>
      <c r="K40" s="70"/>
      <c r="L40" s="70"/>
      <c r="M40" s="70"/>
      <c r="N40" s="70"/>
      <c r="O40" s="47">
        <f>C29+C30+C31+C32+C33+C34</f>
        <v>0</v>
      </c>
      <c r="P40" s="47">
        <f>G40+O40</f>
        <v>0</v>
      </c>
      <c r="Q40" s="47">
        <f>H40+O40</f>
        <v>0</v>
      </c>
      <c r="R40" s="47">
        <f>I40+O40</f>
        <v>0</v>
      </c>
      <c r="S40" s="47">
        <f>J40+O40</f>
        <v>0</v>
      </c>
    </row>
    <row r="41" spans="2:20" ht="15.75" x14ac:dyDescent="0.25">
      <c r="B41" s="49"/>
      <c r="C41" s="71"/>
      <c r="D41" s="49"/>
      <c r="E41" s="71"/>
      <c r="F41" s="49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49"/>
      <c r="S41" s="64"/>
    </row>
    <row r="42" spans="2:20" ht="15.75" x14ac:dyDescent="0.25">
      <c r="B42" s="49"/>
      <c r="C42" s="71"/>
      <c r="D42" s="49"/>
      <c r="E42" s="71"/>
      <c r="F42" s="49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49"/>
      <c r="S42" s="64"/>
    </row>
    <row r="43" spans="2:20" ht="15.75" x14ac:dyDescent="0.25">
      <c r="B43" s="49"/>
      <c r="C43" s="71"/>
      <c r="D43" s="49"/>
      <c r="E43" s="71"/>
      <c r="F43" s="49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49"/>
      <c r="S43" s="64"/>
    </row>
    <row r="44" spans="2:20" ht="15.75" x14ac:dyDescent="0.25">
      <c r="B44" s="49"/>
      <c r="C44" s="41"/>
      <c r="D44" s="49"/>
      <c r="E44" s="41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64"/>
    </row>
    <row r="45" spans="2:20" ht="18.75" x14ac:dyDescent="0.25">
      <c r="B45" s="49"/>
      <c r="C45" s="67"/>
      <c r="D45" s="49"/>
      <c r="E45" s="67"/>
      <c r="F45" s="49"/>
      <c r="G45" s="73" t="s">
        <v>23</v>
      </c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49"/>
      <c r="S45" s="64"/>
    </row>
    <row r="46" spans="2:20" ht="15.75" x14ac:dyDescent="0.25">
      <c r="B46" s="49"/>
      <c r="C46" s="41"/>
      <c r="D46" s="49"/>
      <c r="E46" s="41"/>
      <c r="F46" s="49"/>
      <c r="G46" s="63" t="s">
        <v>45</v>
      </c>
      <c r="H46" s="63"/>
      <c r="I46" s="63"/>
      <c r="J46" s="49"/>
      <c r="K46" s="49"/>
      <c r="L46" s="49"/>
      <c r="M46" s="49"/>
      <c r="N46" s="49"/>
      <c r="O46" s="57"/>
      <c r="P46" s="63" t="s">
        <v>42</v>
      </c>
      <c r="Q46" s="63"/>
      <c r="R46" s="63"/>
      <c r="S46" s="64"/>
    </row>
    <row r="47" spans="2:20" ht="15.75" x14ac:dyDescent="0.25">
      <c r="B47" s="49"/>
      <c r="C47" s="67"/>
      <c r="D47" s="49"/>
      <c r="E47" s="67"/>
      <c r="F47" s="65" t="s">
        <v>40</v>
      </c>
      <c r="G47" s="69" t="s">
        <v>8</v>
      </c>
      <c r="H47" s="69" t="s">
        <v>9</v>
      </c>
      <c r="I47" s="69" t="s">
        <v>10</v>
      </c>
      <c r="J47" s="69"/>
      <c r="K47" s="69"/>
      <c r="L47" s="69"/>
      <c r="M47" s="69"/>
      <c r="N47" s="69"/>
      <c r="O47" s="69" t="s">
        <v>43</v>
      </c>
      <c r="P47" s="69" t="s">
        <v>8</v>
      </c>
      <c r="Q47" s="69" t="s">
        <v>9</v>
      </c>
      <c r="R47" s="69" t="s">
        <v>10</v>
      </c>
      <c r="S47" s="74"/>
    </row>
    <row r="48" spans="2:20" ht="15.75" x14ac:dyDescent="0.25">
      <c r="B48" s="49"/>
      <c r="C48" s="75"/>
      <c r="D48" s="49"/>
      <c r="E48" s="75"/>
      <c r="F48" s="49" t="s">
        <v>46</v>
      </c>
      <c r="G48" s="47">
        <f>((D11*G11)+(M11*P11))/2</f>
        <v>6750</v>
      </c>
      <c r="H48" s="47">
        <f>((D11*H11)+(M11*Q11))/3</f>
        <v>5116.666666666667</v>
      </c>
      <c r="I48" s="47">
        <f>((D11*I11)+(M11*R11))/4</f>
        <v>4300</v>
      </c>
      <c r="J48" s="70"/>
      <c r="K48" s="70"/>
      <c r="L48" s="70"/>
      <c r="M48" s="70"/>
      <c r="N48" s="70"/>
      <c r="O48" s="70">
        <f>SUM(G17:G25)</f>
        <v>500</v>
      </c>
      <c r="P48" s="70">
        <f>G48+O48</f>
        <v>7250</v>
      </c>
      <c r="Q48" s="70">
        <f>H48+O48</f>
        <v>5616.666666666667</v>
      </c>
      <c r="R48" s="70">
        <f>I48+O48</f>
        <v>4800</v>
      </c>
      <c r="S48" s="76"/>
    </row>
    <row r="49" spans="2:19" ht="15.75" x14ac:dyDescent="0.25">
      <c r="B49" s="49"/>
      <c r="C49" s="75"/>
      <c r="D49" s="49"/>
      <c r="E49" s="75"/>
      <c r="F49" s="49" t="s">
        <v>47</v>
      </c>
      <c r="G49" s="70"/>
      <c r="H49" s="70"/>
      <c r="I49" s="70"/>
      <c r="J49" s="70"/>
      <c r="K49" s="70"/>
      <c r="L49" s="70"/>
      <c r="M49" s="70"/>
      <c r="N49" s="70"/>
      <c r="O49" s="70"/>
      <c r="P49" s="70">
        <f>G49+O49</f>
        <v>0</v>
      </c>
      <c r="Q49" s="70">
        <f>H49+O49</f>
        <v>0</v>
      </c>
      <c r="R49" s="70">
        <f>I49+O49</f>
        <v>0</v>
      </c>
      <c r="S49" s="76"/>
    </row>
    <row r="50" spans="2:19" ht="15.75" x14ac:dyDescent="0.25">
      <c r="B50" s="49"/>
      <c r="C50" s="75"/>
      <c r="D50" s="49"/>
      <c r="E50" s="75"/>
      <c r="F50" s="49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6"/>
    </row>
    <row r="51" spans="2:19" ht="15.75" x14ac:dyDescent="0.25">
      <c r="B51" s="49"/>
      <c r="C51" s="75"/>
      <c r="D51" s="49"/>
      <c r="E51" s="75"/>
      <c r="F51" s="49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6"/>
    </row>
    <row r="52" spans="2:19" ht="15.75" x14ac:dyDescent="0.25">
      <c r="B52" s="49"/>
      <c r="C52" s="75"/>
      <c r="D52" s="49"/>
      <c r="E52" s="75"/>
      <c r="F52" s="49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6"/>
    </row>
    <row r="53" spans="2:19" ht="15.75" x14ac:dyDescent="0.25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64"/>
    </row>
    <row r="54" spans="2:19" x14ac:dyDescent="0.25">
      <c r="B54" s="77" t="s">
        <v>48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9"/>
      <c r="S54" s="80"/>
    </row>
    <row r="55" spans="2:19" x14ac:dyDescent="0.25">
      <c r="B55" s="81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3"/>
      <c r="S55" s="80"/>
    </row>
    <row r="56" spans="2:19" x14ac:dyDescent="0.25">
      <c r="B56" s="81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3"/>
      <c r="S56" s="80"/>
    </row>
    <row r="57" spans="2:19" x14ac:dyDescent="0.25">
      <c r="B57" s="81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3"/>
      <c r="S57" s="80"/>
    </row>
    <row r="58" spans="2:19" x14ac:dyDescent="0.25">
      <c r="B58" s="81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3"/>
      <c r="S58" s="80"/>
    </row>
    <row r="59" spans="2:19" x14ac:dyDescent="0.25">
      <c r="B59" s="81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3"/>
      <c r="S59" s="80"/>
    </row>
    <row r="60" spans="2:19" ht="55.15" customHeight="1" x14ac:dyDescent="0.25">
      <c r="B60" s="84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6"/>
      <c r="S60" s="80"/>
    </row>
  </sheetData>
  <mergeCells count="53"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  <mergeCell ref="C32:C33"/>
    <mergeCell ref="E32:E33"/>
    <mergeCell ref="C34:C35"/>
    <mergeCell ref="E34:E35"/>
    <mergeCell ref="G36:Q36"/>
    <mergeCell ref="G37:I37"/>
    <mergeCell ref="P37:R37"/>
    <mergeCell ref="B26:R26"/>
    <mergeCell ref="G27:Q27"/>
    <mergeCell ref="G28:I28"/>
    <mergeCell ref="P28:R28"/>
    <mergeCell ref="C30:C31"/>
    <mergeCell ref="E30:E31"/>
    <mergeCell ref="C14:D14"/>
    <mergeCell ref="E14:F14"/>
    <mergeCell ref="G14:H14"/>
    <mergeCell ref="B15:B19"/>
    <mergeCell ref="C15:D15"/>
    <mergeCell ref="E15:F15"/>
    <mergeCell ref="G15:H15"/>
    <mergeCell ref="P7:P8"/>
    <mergeCell ref="Q7:Q8"/>
    <mergeCell ref="R7:R8"/>
    <mergeCell ref="S7:S8"/>
    <mergeCell ref="T7:T8"/>
    <mergeCell ref="B12:B13"/>
    <mergeCell ref="C12:C13"/>
    <mergeCell ref="I7:I8"/>
    <mergeCell ref="J7:J8"/>
    <mergeCell ref="K7:K8"/>
    <mergeCell ref="L7:L8"/>
    <mergeCell ref="M7:M8"/>
    <mergeCell ref="N7:O7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2025-10-02T10:28:18Z</dcterms:created>
  <dcterms:modified xsi:type="dcterms:W3CDTF">2025-10-02T10:28:43Z</dcterms:modified>
</cp:coreProperties>
</file>